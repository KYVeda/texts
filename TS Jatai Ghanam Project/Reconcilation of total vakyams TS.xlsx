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Github\texts\TS Jatai Ghanam Project\"/>
    </mc:Choice>
  </mc:AlternateContent>
  <xr:revisionPtr revIDLastSave="0" documentId="13_ncr:1_{F23BB5DD-613D-4CD5-A680-42F17E6685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  <c r="F59" i="1"/>
  <c r="F60" i="1"/>
  <c r="F61" i="1"/>
  <c r="F62" i="1"/>
  <c r="F57" i="1"/>
  <c r="F50" i="1"/>
  <c r="F51" i="1"/>
  <c r="F52" i="1"/>
  <c r="F53" i="1"/>
  <c r="F54" i="1"/>
  <c r="F55" i="1"/>
  <c r="F49" i="1"/>
  <c r="F41" i="1"/>
  <c r="F42" i="1"/>
  <c r="F43" i="1"/>
  <c r="F44" i="1"/>
  <c r="F45" i="1"/>
  <c r="F46" i="1"/>
  <c r="F47" i="1"/>
  <c r="F40" i="1"/>
  <c r="F32" i="1"/>
  <c r="F33" i="1"/>
  <c r="F34" i="1"/>
  <c r="F35" i="1"/>
  <c r="F36" i="1"/>
  <c r="F37" i="1"/>
  <c r="F38" i="1"/>
  <c r="F31" i="1"/>
  <c r="F25" i="1"/>
  <c r="F26" i="1"/>
  <c r="F27" i="1"/>
  <c r="F28" i="1"/>
  <c r="F24" i="1"/>
  <c r="F17" i="1"/>
  <c r="F18" i="1"/>
  <c r="F19" i="1"/>
  <c r="F20" i="1"/>
  <c r="F21" i="1"/>
  <c r="F22" i="1"/>
  <c r="F16" i="1"/>
  <c r="F7" i="1"/>
  <c r="F8" i="1"/>
  <c r="F9" i="1"/>
  <c r="F10" i="1"/>
  <c r="F11" i="1"/>
  <c r="F12" i="1"/>
  <c r="F13" i="1"/>
  <c r="F6" i="1"/>
  <c r="C62" i="1"/>
  <c r="C55" i="1"/>
  <c r="C47" i="1"/>
  <c r="C38" i="1"/>
  <c r="C29" i="1"/>
  <c r="C22" i="1"/>
  <c r="B65" i="1"/>
  <c r="D62" i="1"/>
  <c r="B62" i="1"/>
  <c r="D55" i="1"/>
  <c r="B55" i="1"/>
  <c r="D47" i="1"/>
  <c r="B47" i="1"/>
  <c r="D38" i="1"/>
  <c r="B38" i="1"/>
  <c r="D29" i="1"/>
  <c r="B29" i="1"/>
  <c r="D22" i="1"/>
  <c r="B22" i="1"/>
  <c r="D14" i="1"/>
  <c r="B14" i="1"/>
  <c r="F29" i="1" l="1"/>
  <c r="C65" i="1"/>
  <c r="D65" i="1"/>
  <c r="F65" i="1" s="1"/>
  <c r="F14" i="1"/>
</calcChain>
</file>

<file path=xl/sharedStrings.xml><?xml version="1.0" encoding="utf-8"?>
<sst xmlns="http://schemas.openxmlformats.org/spreadsheetml/2006/main" count="64" uniqueCount="62">
  <si>
    <t xml:space="preserve">Reconciliation of Total vAkyams in Krama, Jatai and Ghanam as per Published VedaVMS </t>
  </si>
  <si>
    <t xml:space="preserve">TaittirIya Samhita Kandam </t>
  </si>
  <si>
    <t>Padam</t>
  </si>
  <si>
    <t>Count</t>
  </si>
  <si>
    <t>Krama</t>
  </si>
  <si>
    <t>vAkyams</t>
  </si>
  <si>
    <t>Jata</t>
  </si>
  <si>
    <t>Ghana</t>
  </si>
  <si>
    <t>Prapaataka wise</t>
  </si>
  <si>
    <t>TS 1.1</t>
  </si>
  <si>
    <t>TS 1.2</t>
  </si>
  <si>
    <t>TS 1.3</t>
  </si>
  <si>
    <t>TS 1.4</t>
  </si>
  <si>
    <t>TS 1.5</t>
  </si>
  <si>
    <t>TS 1.6</t>
  </si>
  <si>
    <t>TS 1.7</t>
  </si>
  <si>
    <t>TS 1.8</t>
  </si>
  <si>
    <t>Total  kAndam 1</t>
  </si>
  <si>
    <t>TS 2.1</t>
  </si>
  <si>
    <t>TS 2.2</t>
  </si>
  <si>
    <t>TS 2.3</t>
  </si>
  <si>
    <t>TS 2.4</t>
  </si>
  <si>
    <t>TS 2.5</t>
  </si>
  <si>
    <t>TS 2.6</t>
  </si>
  <si>
    <t>Total  kAndam 2</t>
  </si>
  <si>
    <t>TS 3.1</t>
  </si>
  <si>
    <t>TS 3.2</t>
  </si>
  <si>
    <t>TS 3.3</t>
  </si>
  <si>
    <t>TS 3.4</t>
  </si>
  <si>
    <t>TS 3.5</t>
  </si>
  <si>
    <t>Total  kAndam 3</t>
  </si>
  <si>
    <t>TS 4.1</t>
  </si>
  <si>
    <t>TS 4.2</t>
  </si>
  <si>
    <t>TS 4.3</t>
  </si>
  <si>
    <t>TS 4.4</t>
  </si>
  <si>
    <t>TS 4.5</t>
  </si>
  <si>
    <t>TS 4.6</t>
  </si>
  <si>
    <t>TS 4.7</t>
  </si>
  <si>
    <t>Total  kAndam 4</t>
  </si>
  <si>
    <t>TS 5.1</t>
  </si>
  <si>
    <t>TS 5.2</t>
  </si>
  <si>
    <t>TS 5.3</t>
  </si>
  <si>
    <t>TS 5.4</t>
  </si>
  <si>
    <t>TS 5.5</t>
  </si>
  <si>
    <t>TS 5.6</t>
  </si>
  <si>
    <t>TS 5.7</t>
  </si>
  <si>
    <t>Total  kAndam 5</t>
  </si>
  <si>
    <t>TS 6.1</t>
  </si>
  <si>
    <t>TS 6.2</t>
  </si>
  <si>
    <t>TS 6.3</t>
  </si>
  <si>
    <t>TS 6.4</t>
  </si>
  <si>
    <t>TS 6.5</t>
  </si>
  <si>
    <t>TS 6.6</t>
  </si>
  <si>
    <t>Total  kAndam 6</t>
  </si>
  <si>
    <t>TS 7.1</t>
  </si>
  <si>
    <t>TS 7.2</t>
  </si>
  <si>
    <t>TS 7.3</t>
  </si>
  <si>
    <t>TS 7.4</t>
  </si>
  <si>
    <t>TS 7.5</t>
  </si>
  <si>
    <t>Total kAndam 7</t>
  </si>
  <si>
    <t>Grand Total TS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</si>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</sst>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u val="double"/>
      <sz val="18"/>
      <color theme="1"/>
      <name val="Arial"/>
      <family val="2"/>
    </font>
    <font>
      <u val="double"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workbookViewId="0">
      <selection activeCell="C29" sqref="C29:D29"/>
    </sheetView>
  </sheetViews>
  <sheetFormatPr defaultRowHeight="18" x14ac:dyDescent="0.25"/>
  <cols>
    <col min="1" max="1" width="34.140625" style="1" customWidth="1"/>
    <col min="2" max="2" width="12.5703125" customWidth="1"/>
    <col min="3" max="3" width="16.42578125" customWidth="1"/>
    <col min="4" max="5" width="12.140625" bestFit="1" customWidth="1"/>
    <col min="6" max="6" width="11.5703125" customWidth="1"/>
  </cols>
  <sheetData>
    <row r="1" spans="1:18" ht="23.25" x14ac:dyDescent="0.35"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</row>
    <row r="2" spans="1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 t="s">
        <v>1</v>
      </c>
      <c r="B3" s="1" t="s">
        <v>2</v>
      </c>
      <c r="C3" s="1" t="s">
        <v>4</v>
      </c>
      <c r="D3" s="1" t="s">
        <v>6</v>
      </c>
      <c r="E3" s="1" t="s">
        <v>7</v>
      </c>
      <c r="F3" s="1" t="s">
        <v>61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 t="s">
        <v>8</v>
      </c>
      <c r="B4" s="1" t="s">
        <v>3</v>
      </c>
      <c r="C4" s="1" t="s">
        <v>5</v>
      </c>
      <c r="D4" s="1" t="s">
        <v>5</v>
      </c>
      <c r="E4" s="1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 t="s">
        <v>9</v>
      </c>
      <c r="B6" s="1">
        <v>1530</v>
      </c>
      <c r="C6" s="1">
        <v>1771</v>
      </c>
      <c r="D6" s="1">
        <v>1771</v>
      </c>
      <c r="E6" s="1"/>
      <c r="F6" s="1">
        <f>+D6-C6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 t="s">
        <v>10</v>
      </c>
      <c r="B7" s="1">
        <v>1690</v>
      </c>
      <c r="C7" s="1">
        <v>1914</v>
      </c>
      <c r="D7" s="1">
        <v>1914</v>
      </c>
      <c r="E7" s="1"/>
      <c r="F7" s="1">
        <f t="shared" ref="F7:F62" si="0">+D7-C7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 t="s">
        <v>11</v>
      </c>
      <c r="B8" s="1">
        <v>1567</v>
      </c>
      <c r="C8" s="6">
        <v>1795</v>
      </c>
      <c r="D8" s="6">
        <v>1795</v>
      </c>
      <c r="E8" s="1"/>
      <c r="F8" s="1">
        <f t="shared" si="0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 t="s">
        <v>12</v>
      </c>
      <c r="B9" s="1">
        <v>1810</v>
      </c>
      <c r="C9" s="1">
        <v>2085</v>
      </c>
      <c r="D9" s="1">
        <v>2085</v>
      </c>
      <c r="E9" s="1"/>
      <c r="F9" s="1">
        <f t="shared" si="0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 t="s">
        <v>13</v>
      </c>
      <c r="B10" s="1">
        <v>2717</v>
      </c>
      <c r="C10" s="1">
        <v>3087</v>
      </c>
      <c r="D10" s="1">
        <v>3087</v>
      </c>
      <c r="E10" s="1"/>
      <c r="F10" s="1">
        <f t="shared" si="0"/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 t="s">
        <v>14</v>
      </c>
      <c r="B11" s="1">
        <v>2509</v>
      </c>
      <c r="C11" s="1">
        <v>2919</v>
      </c>
      <c r="D11" s="1">
        <v>2919</v>
      </c>
      <c r="E11" s="1"/>
      <c r="F11" s="1">
        <f t="shared" si="0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 t="s">
        <v>15</v>
      </c>
      <c r="B12" s="1">
        <v>2655</v>
      </c>
      <c r="C12" s="1">
        <v>3073</v>
      </c>
      <c r="D12" s="1">
        <v>3073</v>
      </c>
      <c r="E12" s="1"/>
      <c r="F12" s="1">
        <f t="shared" si="0"/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16</v>
      </c>
      <c r="B13" s="1">
        <v>2094</v>
      </c>
      <c r="C13" s="1">
        <v>2450</v>
      </c>
      <c r="D13" s="1">
        <v>2450</v>
      </c>
      <c r="E13" s="1"/>
      <c r="F13" s="1">
        <f t="shared" si="0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2" t="s">
        <v>17</v>
      </c>
      <c r="B14" s="2">
        <f>SUM(B6:B13)</f>
        <v>16572</v>
      </c>
      <c r="C14" s="6">
        <v>19094</v>
      </c>
      <c r="D14" s="2">
        <f>SUM(D6:D13)</f>
        <v>19094</v>
      </c>
      <c r="E14" s="1"/>
      <c r="F14" s="1">
        <f t="shared" si="0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18</v>
      </c>
      <c r="B16" s="1">
        <v>3278</v>
      </c>
      <c r="C16" s="1">
        <v>3773</v>
      </c>
      <c r="D16" s="1">
        <v>3773</v>
      </c>
      <c r="E16" s="1"/>
      <c r="F16" s="1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19</v>
      </c>
      <c r="B17" s="1">
        <v>3526</v>
      </c>
      <c r="C17" s="1">
        <v>4234</v>
      </c>
      <c r="D17" s="1">
        <v>4234</v>
      </c>
      <c r="E17" s="1"/>
      <c r="F17" s="1">
        <f t="shared" si="0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20</v>
      </c>
      <c r="B18" s="1">
        <v>2965</v>
      </c>
      <c r="C18" s="1">
        <v>3384</v>
      </c>
      <c r="D18" s="1">
        <v>3384</v>
      </c>
      <c r="E18" s="1"/>
      <c r="F18" s="1">
        <f t="shared" si="0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21</v>
      </c>
      <c r="B19" s="1">
        <v>2406</v>
      </c>
      <c r="C19" s="1">
        <v>2696</v>
      </c>
      <c r="D19" s="1">
        <v>2696</v>
      </c>
      <c r="E19" s="1"/>
      <c r="F19" s="1">
        <f t="shared" si="0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22</v>
      </c>
      <c r="B20" s="1">
        <v>3665</v>
      </c>
      <c r="C20" s="1">
        <v>4301</v>
      </c>
      <c r="D20" s="1">
        <v>4301</v>
      </c>
      <c r="E20" s="1"/>
      <c r="F20" s="1">
        <f t="shared" si="0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23</v>
      </c>
      <c r="B21" s="1">
        <v>3433</v>
      </c>
      <c r="C21" s="1">
        <v>3997</v>
      </c>
      <c r="D21" s="1">
        <v>3997</v>
      </c>
      <c r="E21" s="1"/>
      <c r="F21" s="1">
        <f t="shared" si="0"/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 t="s">
        <v>24</v>
      </c>
      <c r="B22" s="2">
        <f>SUM(B16:B21)</f>
        <v>19273</v>
      </c>
      <c r="C22" s="2">
        <f>SUM(C16:C21)</f>
        <v>22385</v>
      </c>
      <c r="D22" s="2">
        <f>SUM(D16:D21)</f>
        <v>22385</v>
      </c>
      <c r="E22" s="1"/>
      <c r="F22" s="1">
        <f t="shared" si="0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25</v>
      </c>
      <c r="B24" s="1">
        <v>2248</v>
      </c>
      <c r="C24" s="1">
        <v>2578</v>
      </c>
      <c r="D24" s="1">
        <v>2578</v>
      </c>
      <c r="E24" s="1"/>
      <c r="F24" s="1">
        <f t="shared" si="0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26</v>
      </c>
      <c r="B25" s="1">
        <v>2335</v>
      </c>
      <c r="C25" s="6">
        <v>2757</v>
      </c>
      <c r="D25" s="6">
        <v>2757</v>
      </c>
      <c r="E25" s="1"/>
      <c r="F25" s="1">
        <f t="shared" si="0"/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27</v>
      </c>
      <c r="B26" s="1">
        <v>1857</v>
      </c>
      <c r="C26" s="1">
        <v>2087</v>
      </c>
      <c r="D26" s="1">
        <v>2087</v>
      </c>
      <c r="E26" s="1"/>
      <c r="F26" s="1">
        <f t="shared" si="0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 t="s">
        <v>28</v>
      </c>
      <c r="B27" s="1">
        <v>2392</v>
      </c>
      <c r="C27" s="1">
        <v>2760</v>
      </c>
      <c r="D27" s="1">
        <v>2760</v>
      </c>
      <c r="E27" s="1"/>
      <c r="F27" s="1">
        <f t="shared" si="0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 t="s">
        <v>29</v>
      </c>
      <c r="B28" s="1">
        <v>1790</v>
      </c>
      <c r="C28" s="1">
        <v>2071</v>
      </c>
      <c r="D28" s="1">
        <v>2071</v>
      </c>
      <c r="E28" s="1"/>
      <c r="F28" s="1">
        <f t="shared" si="0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 t="s">
        <v>30</v>
      </c>
      <c r="B29" s="2">
        <f>SUM(B24:B28)</f>
        <v>10622</v>
      </c>
      <c r="C29" s="7">
        <f>SUM(C24:C28)</f>
        <v>12253</v>
      </c>
      <c r="D29" s="7">
        <f>SUM(D24:D28)</f>
        <v>12253</v>
      </c>
      <c r="E29" s="1"/>
      <c r="F29" s="1">
        <f t="shared" si="0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 t="s">
        <v>31</v>
      </c>
      <c r="B31" s="1">
        <v>2293</v>
      </c>
      <c r="C31" s="1">
        <v>2557</v>
      </c>
      <c r="D31" s="1">
        <v>2557</v>
      </c>
      <c r="E31" s="1"/>
      <c r="F31" s="1">
        <f t="shared" si="0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 t="s">
        <v>32</v>
      </c>
      <c r="B32" s="1">
        <v>2498</v>
      </c>
      <c r="C32" s="1">
        <v>2768</v>
      </c>
      <c r="D32" s="1">
        <v>2768</v>
      </c>
      <c r="E32" s="1"/>
      <c r="F32" s="1">
        <f t="shared" si="0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 t="s">
        <v>33</v>
      </c>
      <c r="B33" s="1">
        <v>1844</v>
      </c>
      <c r="C33" s="1">
        <v>2195</v>
      </c>
      <c r="D33" s="1">
        <v>2195</v>
      </c>
      <c r="E33" s="1"/>
      <c r="F33" s="1">
        <f t="shared" si="0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 t="s">
        <v>34</v>
      </c>
      <c r="B34" s="1">
        <v>1887</v>
      </c>
      <c r="C34" s="1">
        <v>2248</v>
      </c>
      <c r="D34" s="1">
        <v>2248</v>
      </c>
      <c r="E34" s="1"/>
      <c r="F34" s="1">
        <f t="shared" si="0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 t="s">
        <v>35</v>
      </c>
      <c r="B35" s="1">
        <v>1234</v>
      </c>
      <c r="C35" s="1">
        <v>1417</v>
      </c>
      <c r="D35" s="1">
        <v>1417</v>
      </c>
      <c r="E35" s="1"/>
      <c r="F35" s="1">
        <f t="shared" si="0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 t="s">
        <v>36</v>
      </c>
      <c r="B36" s="1">
        <v>2331</v>
      </c>
      <c r="C36" s="1">
        <v>2676</v>
      </c>
      <c r="D36" s="1">
        <v>2676</v>
      </c>
      <c r="E36" s="1"/>
      <c r="F36" s="1">
        <f t="shared" si="0"/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37</v>
      </c>
      <c r="B37" s="1">
        <v>2008</v>
      </c>
      <c r="C37" s="1">
        <v>2210</v>
      </c>
      <c r="D37" s="1">
        <v>2210</v>
      </c>
      <c r="E37" s="1"/>
      <c r="F37" s="1">
        <f t="shared" si="0"/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 t="s">
        <v>38</v>
      </c>
      <c r="B38" s="2">
        <f>SUM(B31:B37)</f>
        <v>14095</v>
      </c>
      <c r="C38" s="2">
        <f>SUM(C31:C37)</f>
        <v>16071</v>
      </c>
      <c r="D38" s="2">
        <f>SUM(D31:D37)</f>
        <v>16071</v>
      </c>
      <c r="E38" s="1"/>
      <c r="F38" s="1">
        <f t="shared" si="0"/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 t="s">
        <v>39</v>
      </c>
      <c r="B40" s="1">
        <v>3081</v>
      </c>
      <c r="C40" s="1">
        <v>3544</v>
      </c>
      <c r="D40" s="1">
        <v>3544</v>
      </c>
      <c r="E40" s="1"/>
      <c r="F40" s="1">
        <f t="shared" si="0"/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 t="s">
        <v>40</v>
      </c>
      <c r="B41" s="1">
        <v>3195</v>
      </c>
      <c r="C41" s="1">
        <v>3709</v>
      </c>
      <c r="D41" s="1">
        <v>3709</v>
      </c>
      <c r="E41" s="1"/>
      <c r="F41" s="1">
        <f t="shared" si="0"/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 t="s">
        <v>41</v>
      </c>
      <c r="B42" s="1">
        <v>2477</v>
      </c>
      <c r="C42" s="5">
        <v>2959</v>
      </c>
      <c r="D42" s="5">
        <v>2965</v>
      </c>
      <c r="E42" s="1"/>
      <c r="F42" s="1">
        <f t="shared" si="0"/>
        <v>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 t="s">
        <v>42</v>
      </c>
      <c r="B43" s="1">
        <v>2906</v>
      </c>
      <c r="C43" s="5">
        <v>3389</v>
      </c>
      <c r="D43" s="5">
        <v>3390</v>
      </c>
      <c r="E43" s="1"/>
      <c r="F43" s="1">
        <f t="shared" si="0"/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 t="s">
        <v>43</v>
      </c>
      <c r="B44" s="1">
        <v>2727</v>
      </c>
      <c r="C44" s="1">
        <v>3093</v>
      </c>
      <c r="D44" s="1">
        <v>3093</v>
      </c>
      <c r="E44" s="1"/>
      <c r="F44" s="1">
        <f t="shared" si="0"/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 t="s">
        <v>44</v>
      </c>
      <c r="B45" s="1">
        <v>2436</v>
      </c>
      <c r="C45" s="5">
        <v>2876</v>
      </c>
      <c r="D45" s="1">
        <v>2875</v>
      </c>
      <c r="E45" s="1"/>
      <c r="F45" s="1">
        <f t="shared" si="0"/>
        <v>-1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 t="s">
        <v>45</v>
      </c>
      <c r="B46" s="1">
        <v>2582</v>
      </c>
      <c r="C46" s="1">
        <v>2942</v>
      </c>
      <c r="D46" s="1">
        <v>2942</v>
      </c>
      <c r="E46" s="1"/>
      <c r="F46" s="1">
        <f t="shared" si="0"/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 t="s">
        <v>46</v>
      </c>
      <c r="B47" s="2">
        <f>SUM(B40:B46)</f>
        <v>19404</v>
      </c>
      <c r="C47" s="2">
        <f>SUM(C40:C46)</f>
        <v>22512</v>
      </c>
      <c r="D47" s="2">
        <f>SUM(D40:D46)</f>
        <v>22518</v>
      </c>
      <c r="E47" s="1"/>
      <c r="F47" s="1">
        <f t="shared" si="0"/>
        <v>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 t="s">
        <v>47</v>
      </c>
      <c r="B49" s="1">
        <v>3840</v>
      </c>
      <c r="C49" s="1">
        <v>4389</v>
      </c>
      <c r="D49" s="1">
        <v>4389</v>
      </c>
      <c r="E49" s="1"/>
      <c r="F49" s="1">
        <f t="shared" si="0"/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 t="s">
        <v>48</v>
      </c>
      <c r="B50" s="1">
        <v>3085</v>
      </c>
      <c r="C50" s="1">
        <v>3628</v>
      </c>
      <c r="D50" s="1">
        <v>3628</v>
      </c>
      <c r="E50" s="1"/>
      <c r="F50" s="1">
        <f t="shared" si="0"/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 t="s">
        <v>49</v>
      </c>
      <c r="B51" s="1">
        <v>3155</v>
      </c>
      <c r="C51" s="1">
        <v>3675</v>
      </c>
      <c r="D51" s="1">
        <v>3675</v>
      </c>
      <c r="E51" s="1"/>
      <c r="F51" s="1">
        <f t="shared" si="0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 t="s">
        <v>50</v>
      </c>
      <c r="B52" s="1">
        <v>2626</v>
      </c>
      <c r="C52" s="1">
        <v>3036</v>
      </c>
      <c r="D52" s="1">
        <v>3036</v>
      </c>
      <c r="E52" s="1"/>
      <c r="F52" s="1">
        <f t="shared" si="0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 t="s">
        <v>51</v>
      </c>
      <c r="B53" s="1">
        <v>2150</v>
      </c>
      <c r="C53" s="1">
        <v>2514</v>
      </c>
      <c r="D53" s="1">
        <v>2514</v>
      </c>
      <c r="E53" s="1"/>
      <c r="F53" s="1">
        <f t="shared" si="0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 t="s">
        <v>52</v>
      </c>
      <c r="B54" s="1">
        <v>2125</v>
      </c>
      <c r="C54" s="1">
        <v>2473</v>
      </c>
      <c r="D54" s="1">
        <v>2473</v>
      </c>
      <c r="E54" s="1"/>
      <c r="F54" s="1">
        <f t="shared" si="0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 t="s">
        <v>53</v>
      </c>
      <c r="B55" s="2">
        <f>SUM(B49:B54)</f>
        <v>16981</v>
      </c>
      <c r="C55" s="2">
        <f>SUM(C49:C54)</f>
        <v>19715</v>
      </c>
      <c r="D55" s="2">
        <f>SUM(D49:D54)</f>
        <v>19715</v>
      </c>
      <c r="E55" s="1"/>
      <c r="F55" s="1">
        <f t="shared" si="0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 t="s">
        <v>54</v>
      </c>
      <c r="B57" s="1">
        <v>2635</v>
      </c>
      <c r="C57" s="5">
        <v>3089</v>
      </c>
      <c r="D57" s="1">
        <v>3088</v>
      </c>
      <c r="E57" s="1"/>
      <c r="F57" s="1">
        <f t="shared" si="0"/>
        <v>-1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 t="s">
        <v>55</v>
      </c>
      <c r="B58" s="1">
        <v>2330</v>
      </c>
      <c r="C58" s="5">
        <v>2844</v>
      </c>
      <c r="D58" s="1">
        <v>2845</v>
      </c>
      <c r="E58" s="1"/>
      <c r="F58" s="1">
        <f t="shared" si="0"/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 t="s">
        <v>56</v>
      </c>
      <c r="B59" s="1">
        <v>2123</v>
      </c>
      <c r="C59" s="1">
        <v>2522</v>
      </c>
      <c r="D59" s="1">
        <v>2522</v>
      </c>
      <c r="E59" s="1"/>
      <c r="F59" s="1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 t="s">
        <v>57</v>
      </c>
      <c r="B60" s="1">
        <v>2621</v>
      </c>
      <c r="C60" s="1">
        <v>3185</v>
      </c>
      <c r="D60" s="1">
        <v>3185</v>
      </c>
      <c r="E60" s="1"/>
      <c r="F60" s="1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1" t="s">
        <v>58</v>
      </c>
      <c r="B61" s="1">
        <v>2631</v>
      </c>
      <c r="C61" s="1">
        <v>3215</v>
      </c>
      <c r="D61" s="1">
        <v>3215</v>
      </c>
      <c r="E61" s="1"/>
      <c r="F61" s="1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2" t="s">
        <v>59</v>
      </c>
      <c r="B62" s="2">
        <f>SUM(B57:B61)</f>
        <v>12340</v>
      </c>
      <c r="C62" s="2">
        <f>SUM(C57:C61)</f>
        <v>14855</v>
      </c>
      <c r="D62" s="2">
        <f>SUM(D57:D61)</f>
        <v>14855</v>
      </c>
      <c r="E62" s="1"/>
      <c r="F62" s="1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2" t="s">
        <v>60</v>
      </c>
      <c r="B65" s="2">
        <f>+B14+B22+B29+B38+B47+B55+B62</f>
        <v>109287</v>
      </c>
      <c r="C65" s="2">
        <f>+C14+C22+C29+C38+C47+C55+C62</f>
        <v>126885</v>
      </c>
      <c r="D65" s="2">
        <f>+D14+D22+D29+D38+D47+D55+D62</f>
        <v>126891</v>
      </c>
      <c r="E65" s="1"/>
      <c r="F65" s="1">
        <f t="shared" ref="F65" si="1">+D65-C65</f>
        <v>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Sethuraman Krishnamurthi</cp:lastModifiedBy>
  <dcterms:created xsi:type="dcterms:W3CDTF">2015-06-05T18:17:20Z</dcterms:created>
  <dcterms:modified xsi:type="dcterms:W3CDTF">2026-10-06T18:38:07Z</dcterms:modified>
</cp:coreProperties>
</file>