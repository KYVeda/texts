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Github\texts\TS Jatai Ghanam Project\"/>
    </mc:Choice>
  </mc:AlternateContent>
  <xr:revisionPtr revIDLastSave="0" documentId="13_ncr:1_{0B90EEB2-6396-42EA-B034-C68FA68E763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" i="1" l="1"/>
  <c r="B29" i="1"/>
  <c r="D22" i="1"/>
  <c r="B22" i="1"/>
  <c r="D14" i="1"/>
  <c r="B14" i="1"/>
</calcChain>
</file>

<file path=xl/sharedStrings.xml><?xml version="1.0" encoding="utf-8"?>
<sst xmlns="http://schemas.openxmlformats.org/spreadsheetml/2006/main" count="63" uniqueCount="61">
  <si>
    <t xml:space="preserve">Reconciliation of Total vAkyams in Krama, Jatai and Ghanam as per Published VedaVMS </t>
  </si>
  <si>
    <t xml:space="preserve">TaittirIya Samhita Kandam </t>
  </si>
  <si>
    <t>Padam</t>
  </si>
  <si>
    <t>Count</t>
  </si>
  <si>
    <t>Krama</t>
  </si>
  <si>
    <t>vAkyams</t>
  </si>
  <si>
    <t>Jata</t>
  </si>
  <si>
    <t>Ghana</t>
  </si>
  <si>
    <t>Prapaataka wise</t>
  </si>
  <si>
    <t>TS 1.1</t>
  </si>
  <si>
    <t>TS 1.2</t>
  </si>
  <si>
    <t>TS 1.3</t>
  </si>
  <si>
    <t>TS 1.4</t>
  </si>
  <si>
    <t>TS 1.5</t>
  </si>
  <si>
    <t>TS 1.6</t>
  </si>
  <si>
    <t>TS 1.7</t>
  </si>
  <si>
    <t>TS 1.8</t>
  </si>
  <si>
    <t>Total  kAndam 1</t>
  </si>
  <si>
    <t>TS 2.1</t>
  </si>
  <si>
    <t>TS 2.2</t>
  </si>
  <si>
    <t>TS 2.3</t>
  </si>
  <si>
    <t>TS 2.4</t>
  </si>
  <si>
    <t>TS 2.5</t>
  </si>
  <si>
    <t>TS 2.6</t>
  </si>
  <si>
    <t>Total  kAndam 2</t>
  </si>
  <si>
    <t>TS 3.1</t>
  </si>
  <si>
    <t>TS 3.2</t>
  </si>
  <si>
    <t>TS 3.3</t>
  </si>
  <si>
    <t>TS 3.4</t>
  </si>
  <si>
    <t>TS 3.5</t>
  </si>
  <si>
    <t>Total  kAndam 3</t>
  </si>
  <si>
    <t>TS 4.1</t>
  </si>
  <si>
    <t>TS 4.2</t>
  </si>
  <si>
    <t>TS 4.3</t>
  </si>
  <si>
    <t>TS 4.4</t>
  </si>
  <si>
    <t>TS 4.5</t>
  </si>
  <si>
    <t>TS 4.6</t>
  </si>
  <si>
    <t>TS 4.7</t>
  </si>
  <si>
    <t>Total  kAndam 4</t>
  </si>
  <si>
    <t>TS 5.1</t>
  </si>
  <si>
    <t>TS 5.2</t>
  </si>
  <si>
    <t>TS 5.3</t>
  </si>
  <si>
    <t>TS 5.4</t>
  </si>
  <si>
    <t>TS 5.5</t>
  </si>
  <si>
    <t>TS 5.6</t>
  </si>
  <si>
    <t>TS 5.7</t>
  </si>
  <si>
    <t>Total  kAndam 5</t>
  </si>
  <si>
    <t>TS 6.1</t>
  </si>
  <si>
    <t>TS 6.2</t>
  </si>
  <si>
    <t>TS 6.3</t>
  </si>
  <si>
    <t>TS 6.4</t>
  </si>
  <si>
    <t>TS 6.5</t>
  </si>
  <si>
    <t>TS 6.6</t>
  </si>
  <si>
    <t>Total  kAndam 6</t>
  </si>
  <si>
    <t>TS 7.1</t>
  </si>
  <si>
    <t>TS 7.2</t>
  </si>
  <si>
    <t>TS 7.3</t>
  </si>
  <si>
    <t>TS 7.4</t>
  </si>
  <si>
    <t>TS 7.5</t>
  </si>
  <si>
    <t>Total kAndam 7</t>
  </si>
  <si>
    <t>Grand Total 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</si>
</sst>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  <font>
      <u val="double"/>
      <sz val="18"/>
      <color theme="1"/>
      <name val="Arial"/>
      <family val="2"/>
    </font>
    <font>
      <u val="double"/>
      <sz val="14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3"/>
  <sheetViews>
    <sheetView tabSelected="1" workbookViewId="0"/>
  </sheetViews>
  <sheetFormatPr defaultRowHeight="18" x14ac:dyDescent="0.25"/>
  <cols>
    <col min="1" max="1" width="34.140625" style="1" customWidth="1"/>
    <col min="2" max="2" width="12.5703125" customWidth="1"/>
    <col min="3" max="3" width="16.42578125" customWidth="1"/>
    <col min="4" max="5" width="12.140625" bestFit="1" customWidth="1"/>
  </cols>
  <sheetData>
    <row r="1" spans="1:18" ht="23.25" x14ac:dyDescent="0.35">
      <c r="B1" s="4" t="s">
        <v>0</v>
      </c>
      <c r="C1" s="3"/>
      <c r="D1" s="3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</row>
    <row r="2" spans="1:18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 t="s">
        <v>1</v>
      </c>
      <c r="B3" s="1" t="s">
        <v>2</v>
      </c>
      <c r="C3" s="1" t="s">
        <v>4</v>
      </c>
      <c r="D3" s="1" t="s">
        <v>6</v>
      </c>
      <c r="E3" s="1" t="s">
        <v>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A4" s="1" t="s">
        <v>8</v>
      </c>
      <c r="B4" s="1" t="s">
        <v>3</v>
      </c>
      <c r="C4" s="1" t="s">
        <v>5</v>
      </c>
      <c r="D4" s="1" t="s">
        <v>5</v>
      </c>
      <c r="E4" s="1" t="s">
        <v>5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1" t="s">
        <v>9</v>
      </c>
      <c r="B6" s="1">
        <v>1530</v>
      </c>
      <c r="C6" s="1"/>
      <c r="D6" s="1">
        <v>1771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1" t="s">
        <v>10</v>
      </c>
      <c r="B7" s="1">
        <v>1690</v>
      </c>
      <c r="C7" s="1"/>
      <c r="D7" s="1">
        <v>1914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1" t="s">
        <v>11</v>
      </c>
      <c r="B8" s="1">
        <v>1567</v>
      </c>
      <c r="C8" s="1"/>
      <c r="D8" s="1">
        <v>1797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" t="s">
        <v>12</v>
      </c>
      <c r="B9" s="1">
        <v>1810</v>
      </c>
      <c r="C9" s="1"/>
      <c r="D9" s="1">
        <v>2085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" t="s">
        <v>13</v>
      </c>
      <c r="B10" s="1">
        <v>2717</v>
      </c>
      <c r="C10" s="1"/>
      <c r="D10" s="1">
        <v>3087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" t="s">
        <v>14</v>
      </c>
      <c r="B11" s="1">
        <v>2509</v>
      </c>
      <c r="C11" s="1"/>
      <c r="D11" s="1">
        <v>2919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" t="s">
        <v>15</v>
      </c>
      <c r="B12" s="1">
        <v>2655</v>
      </c>
      <c r="C12" s="1"/>
      <c r="D12" s="1">
        <v>3073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" t="s">
        <v>16</v>
      </c>
      <c r="B13" s="1">
        <v>2094</v>
      </c>
      <c r="C13" s="1"/>
      <c r="D13" s="1">
        <v>2450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2" t="s">
        <v>17</v>
      </c>
      <c r="B14" s="2">
        <f>SUM(B6:B13)</f>
        <v>16572</v>
      </c>
      <c r="C14" s="1"/>
      <c r="D14" s="2">
        <f>SUM(D6:D13)</f>
        <v>19096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" t="s">
        <v>18</v>
      </c>
      <c r="B16" s="1">
        <v>3278</v>
      </c>
      <c r="C16" s="1"/>
      <c r="D16" s="1">
        <v>3773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" t="s">
        <v>19</v>
      </c>
      <c r="B17" s="1">
        <v>3526</v>
      </c>
      <c r="C17" s="1"/>
      <c r="D17" s="1">
        <v>4234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" t="s">
        <v>20</v>
      </c>
      <c r="B18" s="1">
        <v>2965</v>
      </c>
      <c r="C18" s="1"/>
      <c r="D18" s="1">
        <v>3384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" t="s">
        <v>21</v>
      </c>
      <c r="B19" s="1">
        <v>2406</v>
      </c>
      <c r="C19" s="1"/>
      <c r="D19" s="1">
        <v>2696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" t="s">
        <v>22</v>
      </c>
      <c r="B20" s="1">
        <v>3665</v>
      </c>
      <c r="C20" s="1"/>
      <c r="D20" s="1">
        <v>4301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" t="s">
        <v>23</v>
      </c>
      <c r="B21" s="1">
        <v>3433</v>
      </c>
      <c r="C21" s="1"/>
      <c r="D21" s="1">
        <v>3997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" t="s">
        <v>24</v>
      </c>
      <c r="B22" s="2">
        <f>SUM(B16:B21)</f>
        <v>19273</v>
      </c>
      <c r="C22" s="1"/>
      <c r="D22" s="2">
        <f>SUM(D16:D21)</f>
        <v>22385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" t="s">
        <v>25</v>
      </c>
      <c r="B24" s="1">
        <v>2248</v>
      </c>
      <c r="C24" s="1"/>
      <c r="D24" s="1">
        <v>2578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" t="s">
        <v>26</v>
      </c>
      <c r="B25" s="1">
        <v>2335</v>
      </c>
      <c r="C25" s="1"/>
      <c r="D25" s="1">
        <v>2757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" t="s">
        <v>27</v>
      </c>
      <c r="B26" s="1">
        <v>1857</v>
      </c>
      <c r="C26" s="1"/>
      <c r="D26" s="1">
        <v>2087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" t="s">
        <v>28</v>
      </c>
      <c r="B27" s="1">
        <v>2392</v>
      </c>
      <c r="C27" s="1"/>
      <c r="D27" s="1">
        <v>2760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" t="s">
        <v>29</v>
      </c>
      <c r="B28" s="1">
        <v>1790</v>
      </c>
      <c r="C28" s="1"/>
      <c r="D28" s="1">
        <v>2071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" t="s">
        <v>30</v>
      </c>
      <c r="B29" s="2">
        <f>SUM(B24:B28)</f>
        <v>10622</v>
      </c>
      <c r="C29" s="1"/>
      <c r="D29" s="2">
        <f>SUM(D24:D28)</f>
        <v>12253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" t="s">
        <v>31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" t="s">
        <v>32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" t="s">
        <v>33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s="1" t="s">
        <v>34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s="1" t="s">
        <v>35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s="1" t="s">
        <v>36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s="1" t="s">
        <v>37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s="1" t="s">
        <v>38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" t="s">
        <v>39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" t="s">
        <v>40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1" t="s">
        <v>41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1" t="s">
        <v>42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 t="s">
        <v>43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 t="s">
        <v>44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 t="s">
        <v>45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 t="s">
        <v>46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 t="s">
        <v>47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 t="s">
        <v>48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 t="s">
        <v>49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 t="s">
        <v>50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 t="s">
        <v>51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 t="s">
        <v>52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 t="s">
        <v>53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 t="s">
        <v>54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 t="s">
        <v>55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 t="s">
        <v>56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 t="s">
        <v>57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 t="s">
        <v>58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2" t="s">
        <v>59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2" t="s">
        <v>60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2:18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2:18" x14ac:dyDescent="0.2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2:18" x14ac:dyDescent="0.2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2:18" x14ac:dyDescent="0.2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2:18" x14ac:dyDescent="0.2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2:18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2:18" x14ac:dyDescent="0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2:18" x14ac:dyDescent="0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2:18" x14ac:dyDescent="0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2:18" x14ac:dyDescent="0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2:18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2:18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2:18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2:18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2:18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2:18" x14ac:dyDescent="0.2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2:18" x14ac:dyDescent="0.2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2:18" x14ac:dyDescent="0.2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2:18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2:18" x14ac:dyDescent="0.2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2:18" x14ac:dyDescent="0.2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2:18" x14ac:dyDescent="0.2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2:18" x14ac:dyDescent="0.2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Sethuraman Krishnamurthi</cp:lastModifiedBy>
  <dcterms:created xsi:type="dcterms:W3CDTF">2015-06-05T18:17:20Z</dcterms:created>
  <dcterms:modified xsi:type="dcterms:W3CDTF">2026-10-06T11:18:41Z</dcterms:modified>
</cp:coreProperties>
</file>