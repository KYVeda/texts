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4A323EC6-018F-454D-871A-BCC2B915B7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ll 7 Kaandams" sheetId="9" r:id="rId1"/>
  </sheets>
  <calcPr calcId="181029"/>
</workbook>
</file>

<file path=xl/calcChain.xml><?xml version="1.0" encoding="utf-8"?>
<calcChain xmlns="http://schemas.openxmlformats.org/spreadsheetml/2006/main">
  <c r="J900" i="9" l="1"/>
  <c r="J892" i="9"/>
  <c r="J887" i="9"/>
  <c r="J884" i="9"/>
  <c r="J879" i="9"/>
  <c r="J875" i="9"/>
  <c r="J864" i="9"/>
  <c r="J857" i="9"/>
  <c r="J852" i="9"/>
  <c r="J849" i="9"/>
  <c r="J845" i="9"/>
  <c r="J838" i="9"/>
  <c r="J831" i="9"/>
  <c r="J826" i="9"/>
  <c r="J818" i="9"/>
  <c r="J804" i="9"/>
  <c r="J800" i="9"/>
  <c r="J796" i="9"/>
  <c r="J790" i="9"/>
  <c r="J780" i="9"/>
  <c r="J774" i="9"/>
  <c r="J771" i="9"/>
  <c r="J765" i="9"/>
  <c r="J651" i="9"/>
  <c r="J645" i="9"/>
  <c r="J637" i="9"/>
  <c r="J623" i="9"/>
  <c r="J617" i="9"/>
  <c r="J606" i="9"/>
  <c r="J595" i="9"/>
  <c r="J589" i="9"/>
  <c r="J584" i="9"/>
  <c r="J579" i="9"/>
  <c r="J574" i="9"/>
  <c r="J569" i="9"/>
  <c r="J562" i="9"/>
  <c r="J557" i="9"/>
  <c r="J552" i="9"/>
  <c r="J546" i="9"/>
  <c r="J541" i="9"/>
  <c r="J536" i="9"/>
  <c r="J532" i="9"/>
  <c r="J528" i="9"/>
  <c r="J523" i="9"/>
  <c r="J519" i="9"/>
  <c r="J514" i="9"/>
  <c r="J510" i="9"/>
  <c r="J184" i="9"/>
  <c r="J176" i="9"/>
  <c r="J169" i="9"/>
  <c r="J161" i="9"/>
  <c r="J154" i="9"/>
  <c r="J148" i="9"/>
  <c r="J144" i="9"/>
  <c r="J139" i="9"/>
  <c r="J135" i="9"/>
  <c r="J129" i="9"/>
  <c r="J123" i="9"/>
  <c r="J118" i="9"/>
  <c r="J113" i="9"/>
  <c r="J108" i="9"/>
  <c r="J98" i="9"/>
  <c r="J71" i="9"/>
  <c r="J58" i="9"/>
  <c r="J50" i="9"/>
  <c r="J41" i="9"/>
  <c r="J36" i="9"/>
  <c r="J27" i="9"/>
  <c r="J20" i="9"/>
  <c r="J13" i="9"/>
  <c r="J7" i="9"/>
  <c r="F186" i="9"/>
  <c r="F905" i="9"/>
  <c r="F904" i="9"/>
  <c r="F903" i="9"/>
  <c r="F902" i="9"/>
  <c r="F901" i="9"/>
  <c r="D900" i="9"/>
  <c r="D901" i="9" s="1"/>
  <c r="D902" i="9" s="1"/>
  <c r="D903" i="9" s="1"/>
  <c r="D904" i="9" s="1"/>
  <c r="D905" i="9" s="1"/>
  <c r="F898" i="9"/>
  <c r="F897" i="9"/>
  <c r="F896" i="9"/>
  <c r="F895" i="9"/>
  <c r="F894" i="9"/>
  <c r="F893" i="9"/>
  <c r="D892" i="9"/>
  <c r="D893" i="9" s="1"/>
  <c r="D894" i="9" s="1"/>
  <c r="D895" i="9" s="1"/>
  <c r="D896" i="9" s="1"/>
  <c r="D897" i="9" s="1"/>
  <c r="D898" i="9" s="1"/>
  <c r="F890" i="9"/>
  <c r="F889" i="9"/>
  <c r="F888" i="9"/>
  <c r="D887" i="9"/>
  <c r="D888" i="9" s="1"/>
  <c r="D889" i="9" s="1"/>
  <c r="D890" i="9" s="1"/>
  <c r="F885" i="9"/>
  <c r="D884" i="9"/>
  <c r="D885" i="9" s="1"/>
  <c r="F882" i="9"/>
  <c r="F881" i="9"/>
  <c r="F880" i="9"/>
  <c r="D879" i="9"/>
  <c r="D880" i="9" s="1"/>
  <c r="D881" i="9" s="1"/>
  <c r="D882" i="9" s="1"/>
  <c r="F877" i="9"/>
  <c r="F876" i="9"/>
  <c r="D875" i="9"/>
  <c r="D876" i="9" s="1"/>
  <c r="D877" i="9" s="1"/>
  <c r="F873" i="9"/>
  <c r="F872" i="9"/>
  <c r="F871" i="9"/>
  <c r="F870" i="9"/>
  <c r="F869" i="9"/>
  <c r="F868" i="9"/>
  <c r="F867" i="9"/>
  <c r="F866" i="9"/>
  <c r="F865" i="9"/>
  <c r="D864" i="9"/>
  <c r="D865" i="9" s="1"/>
  <c r="D866" i="9" s="1"/>
  <c r="D867" i="9" s="1"/>
  <c r="D868" i="9" s="1"/>
  <c r="D869" i="9" s="1"/>
  <c r="D870" i="9" s="1"/>
  <c r="D871" i="9" s="1"/>
  <c r="D872" i="9" s="1"/>
  <c r="D873" i="9" s="1"/>
  <c r="F862" i="9"/>
  <c r="F861" i="9"/>
  <c r="F860" i="9"/>
  <c r="F859" i="9"/>
  <c r="F858" i="9"/>
  <c r="D857" i="9"/>
  <c r="D858" i="9" s="1"/>
  <c r="D859" i="9" s="1"/>
  <c r="D860" i="9" s="1"/>
  <c r="D861" i="9" s="1"/>
  <c r="D862" i="9" s="1"/>
  <c r="F855" i="9"/>
  <c r="F854" i="9"/>
  <c r="F853" i="9"/>
  <c r="D852" i="9"/>
  <c r="D853" i="9" s="1"/>
  <c r="D854" i="9" s="1"/>
  <c r="D855" i="9" s="1"/>
  <c r="F850" i="9"/>
  <c r="D849" i="9"/>
  <c r="D850" i="9" s="1"/>
  <c r="F847" i="9"/>
  <c r="F846" i="9"/>
  <c r="D845" i="9"/>
  <c r="D846" i="9" s="1"/>
  <c r="D847" i="9" s="1"/>
  <c r="F843" i="9"/>
  <c r="F842" i="9"/>
  <c r="F841" i="9"/>
  <c r="F840" i="9"/>
  <c r="F839" i="9"/>
  <c r="D838" i="9"/>
  <c r="D839" i="9" s="1"/>
  <c r="D840" i="9" s="1"/>
  <c r="D841" i="9" s="1"/>
  <c r="D842" i="9" s="1"/>
  <c r="D843" i="9" s="1"/>
  <c r="F836" i="9"/>
  <c r="F835" i="9"/>
  <c r="F834" i="9"/>
  <c r="F833" i="9"/>
  <c r="F832" i="9"/>
  <c r="D831" i="9"/>
  <c r="D832" i="9" s="1"/>
  <c r="D833" i="9" s="1"/>
  <c r="D834" i="9" s="1"/>
  <c r="D835" i="9" s="1"/>
  <c r="D836" i="9" s="1"/>
  <c r="F829" i="9"/>
  <c r="F828" i="9"/>
  <c r="F827" i="9"/>
  <c r="D826" i="9"/>
  <c r="D827" i="9" s="1"/>
  <c r="D828" i="9" s="1"/>
  <c r="D829" i="9" s="1"/>
  <c r="F823" i="9"/>
  <c r="F822" i="9"/>
  <c r="F821" i="9"/>
  <c r="F820" i="9"/>
  <c r="F819" i="9"/>
  <c r="D818" i="9"/>
  <c r="D819" i="9" s="1"/>
  <c r="D820" i="9" s="1"/>
  <c r="D821" i="9" s="1"/>
  <c r="D822" i="9" s="1"/>
  <c r="D823" i="9" s="1"/>
  <c r="F816" i="9"/>
  <c r="F815" i="9"/>
  <c r="F814" i="9"/>
  <c r="F813" i="9"/>
  <c r="F812" i="9"/>
  <c r="F811" i="9"/>
  <c r="F810" i="9"/>
  <c r="F809" i="9"/>
  <c r="F808" i="9"/>
  <c r="F807" i="9"/>
  <c r="F806" i="9"/>
  <c r="F805" i="9"/>
  <c r="D804" i="9"/>
  <c r="D805" i="9" s="1"/>
  <c r="D806" i="9" s="1"/>
  <c r="D807" i="9" s="1"/>
  <c r="D808" i="9" s="1"/>
  <c r="D809" i="9" s="1"/>
  <c r="D810" i="9" s="1"/>
  <c r="D811" i="9" s="1"/>
  <c r="D812" i="9" s="1"/>
  <c r="D813" i="9" s="1"/>
  <c r="D814" i="9" s="1"/>
  <c r="D815" i="9" s="1"/>
  <c r="D816" i="9" s="1"/>
  <c r="F802" i="9"/>
  <c r="F801" i="9"/>
  <c r="D800" i="9"/>
  <c r="D801" i="9" s="1"/>
  <c r="D802" i="9" s="1"/>
  <c r="F798" i="9"/>
  <c r="F797" i="9"/>
  <c r="D797" i="9"/>
  <c r="D798" i="9" s="1"/>
  <c r="F793" i="9"/>
  <c r="F792" i="9"/>
  <c r="F791" i="9"/>
  <c r="D791" i="9"/>
  <c r="D792" i="9" s="1"/>
  <c r="D793" i="9" s="1"/>
  <c r="F788" i="9"/>
  <c r="F787" i="9"/>
  <c r="F786" i="9"/>
  <c r="F785" i="9"/>
  <c r="F784" i="9"/>
  <c r="F783" i="9"/>
  <c r="F782" i="9"/>
  <c r="F781" i="9"/>
  <c r="D781" i="9"/>
  <c r="D782" i="9" s="1"/>
  <c r="D783" i="9" s="1"/>
  <c r="D784" i="9" s="1"/>
  <c r="D785" i="9" s="1"/>
  <c r="D786" i="9" s="1"/>
  <c r="D787" i="9" s="1"/>
  <c r="D788" i="9" s="1"/>
  <c r="F778" i="9"/>
  <c r="F777" i="9"/>
  <c r="F776" i="9"/>
  <c r="F775" i="9"/>
  <c r="D775" i="9"/>
  <c r="D776" i="9" s="1"/>
  <c r="D777" i="9" s="1"/>
  <c r="D778" i="9" s="1"/>
  <c r="F772" i="9"/>
  <c r="D772" i="9"/>
  <c r="F769" i="9"/>
  <c r="F768" i="9"/>
  <c r="F767" i="9"/>
  <c r="F766" i="9"/>
  <c r="D766" i="9"/>
  <c r="D767" i="9" s="1"/>
  <c r="D768" i="9" s="1"/>
  <c r="D769" i="9" s="1"/>
  <c r="F763" i="9"/>
  <c r="F762" i="9"/>
  <c r="F761" i="9"/>
  <c r="F760" i="9"/>
  <c r="F759" i="9"/>
  <c r="F758" i="9"/>
  <c r="D758" i="9"/>
  <c r="D759" i="9" s="1"/>
  <c r="D760" i="9" s="1"/>
  <c r="D761" i="9" s="1"/>
  <c r="D762" i="9" s="1"/>
  <c r="D763" i="9" s="1"/>
  <c r="F755" i="9"/>
  <c r="D755" i="9"/>
  <c r="F752" i="9"/>
  <c r="F751" i="9"/>
  <c r="D751" i="9"/>
  <c r="D752" i="9" s="1"/>
  <c r="F748" i="9"/>
  <c r="F747" i="9"/>
  <c r="F746" i="9"/>
  <c r="D746" i="9"/>
  <c r="D747" i="9" s="1"/>
  <c r="D748" i="9" s="1"/>
  <c r="F743" i="9"/>
  <c r="F742" i="9"/>
  <c r="F741" i="9"/>
  <c r="D741" i="9"/>
  <c r="D742" i="9" s="1"/>
  <c r="D743" i="9" s="1"/>
  <c r="F738" i="9"/>
  <c r="F737" i="9"/>
  <c r="F736" i="9"/>
  <c r="F735" i="9"/>
  <c r="D735" i="9"/>
  <c r="D736" i="9" s="1"/>
  <c r="D737" i="9" s="1"/>
  <c r="D738" i="9" s="1"/>
  <c r="F732" i="9"/>
  <c r="F731" i="9"/>
  <c r="F730" i="9"/>
  <c r="D730" i="9"/>
  <c r="D731" i="9" s="1"/>
  <c r="D732" i="9" s="1"/>
  <c r="F727" i="9"/>
  <c r="F726" i="9"/>
  <c r="D726" i="9"/>
  <c r="D727" i="9" s="1"/>
  <c r="F723" i="9"/>
  <c r="F722" i="9"/>
  <c r="F721" i="9"/>
  <c r="D721" i="9"/>
  <c r="D722" i="9" s="1"/>
  <c r="D723" i="9" s="1"/>
  <c r="F718" i="9"/>
  <c r="F717" i="9"/>
  <c r="F716" i="9"/>
  <c r="D716" i="9"/>
  <c r="D717" i="9" s="1"/>
  <c r="D718" i="9" s="1"/>
  <c r="D713" i="9" s="1"/>
  <c r="F713" i="9"/>
  <c r="F712" i="9"/>
  <c r="F711" i="9"/>
  <c r="F710" i="9"/>
  <c r="F707" i="9"/>
  <c r="F706" i="9"/>
  <c r="D706" i="9"/>
  <c r="D707" i="9" s="1"/>
  <c r="F703" i="9"/>
  <c r="F702" i="9"/>
  <c r="F701" i="9"/>
  <c r="D701" i="9"/>
  <c r="D702" i="9" s="1"/>
  <c r="D703" i="9" s="1"/>
  <c r="F698" i="9"/>
  <c r="F697" i="9"/>
  <c r="D697" i="9"/>
  <c r="D698" i="9" s="1"/>
  <c r="F694" i="9"/>
  <c r="F693" i="9"/>
  <c r="F692" i="9"/>
  <c r="F691" i="9"/>
  <c r="D691" i="9"/>
  <c r="D692" i="9" s="1"/>
  <c r="D693" i="9" s="1"/>
  <c r="D694" i="9" s="1"/>
  <c r="F688" i="9"/>
  <c r="F687" i="9"/>
  <c r="D687" i="9"/>
  <c r="D688" i="9" s="1"/>
  <c r="F684" i="9"/>
  <c r="F683" i="9"/>
  <c r="D683" i="9"/>
  <c r="D684" i="9" s="1"/>
  <c r="F680" i="9"/>
  <c r="F679" i="9"/>
  <c r="D679" i="9"/>
  <c r="D680" i="9" s="1"/>
  <c r="F676" i="9"/>
  <c r="F675" i="9"/>
  <c r="F674" i="9"/>
  <c r="D674" i="9"/>
  <c r="D675" i="9" s="1"/>
  <c r="D676" i="9" s="1"/>
  <c r="F671" i="9"/>
  <c r="D671" i="9"/>
  <c r="F668" i="9"/>
  <c r="F667" i="9"/>
  <c r="D667" i="9"/>
  <c r="D668" i="9" s="1"/>
  <c r="F664" i="9"/>
  <c r="F663" i="9"/>
  <c r="F662" i="9"/>
  <c r="F661" i="9"/>
  <c r="F660" i="9"/>
  <c r="F659" i="9"/>
  <c r="F658" i="9"/>
  <c r="F657" i="9"/>
  <c r="F656" i="9"/>
  <c r="F655" i="9"/>
  <c r="F654" i="9"/>
  <c r="F653" i="9"/>
  <c r="F652" i="9"/>
  <c r="F651" i="9"/>
  <c r="F650" i="9"/>
  <c r="F649" i="9"/>
  <c r="F648" i="9"/>
  <c r="D648" i="9"/>
  <c r="D649" i="9" s="1"/>
  <c r="D650" i="9" s="1"/>
  <c r="D651" i="9" s="1"/>
  <c r="D652" i="9" s="1"/>
  <c r="D653" i="9" s="1"/>
  <c r="D654" i="9" s="1"/>
  <c r="D655" i="9" s="1"/>
  <c r="D656" i="9" s="1"/>
  <c r="D657" i="9" s="1"/>
  <c r="D658" i="9" s="1"/>
  <c r="D659" i="9" s="1"/>
  <c r="D660" i="9" s="1"/>
  <c r="D661" i="9" s="1"/>
  <c r="D662" i="9" s="1"/>
  <c r="D663" i="9" s="1"/>
  <c r="D664" i="9" s="1"/>
  <c r="F645" i="9"/>
  <c r="F644" i="9"/>
  <c r="F643" i="9"/>
  <c r="F642" i="9"/>
  <c r="D642" i="9"/>
  <c r="D643" i="9" s="1"/>
  <c r="D644" i="9" s="1"/>
  <c r="D645" i="9" s="1"/>
  <c r="F639" i="9"/>
  <c r="F638" i="9"/>
  <c r="F637" i="9"/>
  <c r="F636" i="9"/>
  <c r="F635" i="9"/>
  <c r="F634" i="9"/>
  <c r="D634" i="9"/>
  <c r="D635" i="9" s="1"/>
  <c r="D636" i="9" s="1"/>
  <c r="D637" i="9" s="1"/>
  <c r="D638" i="9" s="1"/>
  <c r="D639" i="9" s="1"/>
  <c r="F631" i="9"/>
  <c r="F630" i="9"/>
  <c r="F629" i="9"/>
  <c r="F628" i="9"/>
  <c r="F627" i="9"/>
  <c r="F626" i="9"/>
  <c r="F625" i="9"/>
  <c r="F624" i="9"/>
  <c r="F623" i="9"/>
  <c r="F622" i="9"/>
  <c r="F621" i="9"/>
  <c r="F620" i="9"/>
  <c r="D620" i="9"/>
  <c r="D621" i="9" s="1"/>
  <c r="D622" i="9" s="1"/>
  <c r="D623" i="9" s="1"/>
  <c r="D624" i="9" s="1"/>
  <c r="D625" i="9" s="1"/>
  <c r="D626" i="9" s="1"/>
  <c r="D627" i="9" s="1"/>
  <c r="D628" i="9" s="1"/>
  <c r="D629" i="9" s="1"/>
  <c r="D630" i="9" s="1"/>
  <c r="D631" i="9" s="1"/>
  <c r="F617" i="9"/>
  <c r="F616" i="9"/>
  <c r="F615" i="9"/>
  <c r="F614" i="9"/>
  <c r="D614" i="9"/>
  <c r="D615" i="9" s="1"/>
  <c r="D616" i="9" s="1"/>
  <c r="D617" i="9" s="1"/>
  <c r="F611" i="9"/>
  <c r="F610" i="9"/>
  <c r="F609" i="9"/>
  <c r="F608" i="9"/>
  <c r="F607" i="9"/>
  <c r="F606" i="9"/>
  <c r="F605" i="9"/>
  <c r="F604" i="9"/>
  <c r="F603" i="9"/>
  <c r="D603" i="9"/>
  <c r="D604" i="9" s="1"/>
  <c r="D605" i="9" s="1"/>
  <c r="D606" i="9" s="1"/>
  <c r="D607" i="9" s="1"/>
  <c r="D608" i="9" s="1"/>
  <c r="D609" i="9" s="1"/>
  <c r="D610" i="9" s="1"/>
  <c r="D611" i="9" s="1"/>
  <c r="F600" i="9"/>
  <c r="F599" i="9"/>
  <c r="F598" i="9"/>
  <c r="F597" i="9"/>
  <c r="F596" i="9"/>
  <c r="F595" i="9"/>
  <c r="F594" i="9"/>
  <c r="F593" i="9"/>
  <c r="F592" i="9"/>
  <c r="D592" i="9"/>
  <c r="D593" i="9" s="1"/>
  <c r="D594" i="9" s="1"/>
  <c r="D595" i="9" s="1"/>
  <c r="D596" i="9" s="1"/>
  <c r="D597" i="9" s="1"/>
  <c r="D598" i="9" s="1"/>
  <c r="D599" i="9" s="1"/>
  <c r="D600" i="9" s="1"/>
  <c r="F589" i="9"/>
  <c r="F588" i="9"/>
  <c r="F587" i="9"/>
  <c r="F586" i="9"/>
  <c r="D586" i="9"/>
  <c r="D587" i="9" s="1"/>
  <c r="D588" i="9" s="1"/>
  <c r="D589" i="9" s="1"/>
  <c r="F583" i="9"/>
  <c r="F582" i="9"/>
  <c r="F581" i="9"/>
  <c r="D581" i="9"/>
  <c r="D582" i="9" s="1"/>
  <c r="D583" i="9" s="1"/>
  <c r="F578" i="9"/>
  <c r="F577" i="9"/>
  <c r="F576" i="9"/>
  <c r="D576" i="9"/>
  <c r="D577" i="9" s="1"/>
  <c r="D578" i="9" s="1"/>
  <c r="F573" i="9"/>
  <c r="F572" i="9"/>
  <c r="F571" i="9"/>
  <c r="D571" i="9"/>
  <c r="D572" i="9" s="1"/>
  <c r="D573" i="9" s="1"/>
  <c r="F568" i="9"/>
  <c r="F567" i="9"/>
  <c r="F566" i="9"/>
  <c r="D566" i="9"/>
  <c r="D567" i="9" s="1"/>
  <c r="D568" i="9" s="1"/>
  <c r="F563" i="9"/>
  <c r="F562" i="9"/>
  <c r="F561" i="9"/>
  <c r="F560" i="9"/>
  <c r="F559" i="9"/>
  <c r="D559" i="9"/>
  <c r="D560" i="9" s="1"/>
  <c r="D561" i="9" s="1"/>
  <c r="D562" i="9" s="1"/>
  <c r="D563" i="9" s="1"/>
  <c r="F556" i="9"/>
  <c r="F555" i="9"/>
  <c r="F554" i="9"/>
  <c r="D554" i="9"/>
  <c r="D555" i="9" s="1"/>
  <c r="D556" i="9" s="1"/>
  <c r="F551" i="9"/>
  <c r="F550" i="9"/>
  <c r="F549" i="9"/>
  <c r="D549" i="9"/>
  <c r="D550" i="9" s="1"/>
  <c r="D551" i="9" s="1"/>
  <c r="F546" i="9"/>
  <c r="F544" i="9"/>
  <c r="F543" i="9"/>
  <c r="D543" i="9"/>
  <c r="D544" i="9" s="1"/>
  <c r="D545" i="9" s="1"/>
  <c r="D546" i="9" s="1"/>
  <c r="F540" i="9"/>
  <c r="F539" i="9"/>
  <c r="F538" i="9"/>
  <c r="D538" i="9"/>
  <c r="D539" i="9" s="1"/>
  <c r="D540" i="9" s="1"/>
  <c r="F535" i="9"/>
  <c r="F534" i="9"/>
  <c r="F533" i="9"/>
  <c r="D533" i="9"/>
  <c r="D534" i="9" s="1"/>
  <c r="D535" i="9" s="1"/>
  <c r="F530" i="9"/>
  <c r="F529" i="9"/>
  <c r="D529" i="9"/>
  <c r="D530" i="9" s="1"/>
  <c r="F525" i="9"/>
  <c r="D525" i="9"/>
  <c r="D526" i="9" s="1"/>
  <c r="F522" i="9"/>
  <c r="F521" i="9"/>
  <c r="F520" i="9"/>
  <c r="D520" i="9"/>
  <c r="D521" i="9" s="1"/>
  <c r="D522" i="9" s="1"/>
  <c r="F517" i="9"/>
  <c r="F516" i="9"/>
  <c r="D516" i="9"/>
  <c r="D517" i="9" s="1"/>
  <c r="F513" i="9"/>
  <c r="F512" i="9"/>
  <c r="F511" i="9"/>
  <c r="D511" i="9"/>
  <c r="D512" i="9" s="1"/>
  <c r="D513" i="9" s="1"/>
  <c r="F508" i="9"/>
  <c r="D507" i="9"/>
  <c r="D508" i="9" s="1"/>
  <c r="F502" i="9"/>
  <c r="F501" i="9"/>
  <c r="F500" i="9"/>
  <c r="D500" i="9"/>
  <c r="D501" i="9" s="1"/>
  <c r="D502" i="9" s="1"/>
  <c r="F497" i="9"/>
  <c r="F496" i="9"/>
  <c r="F495" i="9"/>
  <c r="F494" i="9"/>
  <c r="F493" i="9"/>
  <c r="F492" i="9"/>
  <c r="F491" i="9"/>
  <c r="F490" i="9"/>
  <c r="F489" i="9"/>
  <c r="F488" i="9"/>
  <c r="F487" i="9"/>
  <c r="D487" i="9"/>
  <c r="D488" i="9" s="1"/>
  <c r="D489" i="9" s="1"/>
  <c r="D490" i="9" s="1"/>
  <c r="D491" i="9" s="1"/>
  <c r="D492" i="9" s="1"/>
  <c r="D493" i="9" s="1"/>
  <c r="D494" i="9" s="1"/>
  <c r="D495" i="9" s="1"/>
  <c r="D496" i="9" s="1"/>
  <c r="D497" i="9" s="1"/>
  <c r="F484" i="9"/>
  <c r="F483" i="9"/>
  <c r="F482" i="9"/>
  <c r="D482" i="9"/>
  <c r="D483" i="9" s="1"/>
  <c r="D484" i="9" s="1"/>
  <c r="F479" i="9"/>
  <c r="F478" i="9"/>
  <c r="D478" i="9"/>
  <c r="D479" i="9" s="1"/>
  <c r="F475" i="9"/>
  <c r="F474" i="9"/>
  <c r="F473" i="9"/>
  <c r="D473" i="9"/>
  <c r="D474" i="9" s="1"/>
  <c r="D475" i="9" s="1"/>
  <c r="F470" i="9"/>
  <c r="F469" i="9"/>
  <c r="F468" i="9"/>
  <c r="F467" i="9"/>
  <c r="F466" i="9"/>
  <c r="F465" i="9"/>
  <c r="F464" i="9"/>
  <c r="F463" i="9"/>
  <c r="D463" i="9"/>
  <c r="D464" i="9" s="1"/>
  <c r="D465" i="9" s="1"/>
  <c r="D466" i="9" s="1"/>
  <c r="D467" i="9" s="1"/>
  <c r="D468" i="9" s="1"/>
  <c r="D469" i="9" s="1"/>
  <c r="F460" i="9"/>
  <c r="F459" i="9"/>
  <c r="D458" i="9"/>
  <c r="D459" i="9" s="1"/>
  <c r="D460" i="9" s="1"/>
  <c r="F455" i="9"/>
  <c r="F454" i="9"/>
  <c r="F453" i="9"/>
  <c r="F452" i="9"/>
  <c r="F451" i="9"/>
  <c r="F450" i="9"/>
  <c r="F449" i="9"/>
  <c r="D449" i="9"/>
  <c r="D450" i="9" s="1"/>
  <c r="D451" i="9" s="1"/>
  <c r="D452" i="9" s="1"/>
  <c r="D453" i="9" s="1"/>
  <c r="D454" i="9" s="1"/>
  <c r="D455" i="9" s="1"/>
  <c r="F446" i="9"/>
  <c r="F445" i="9"/>
  <c r="D445" i="9"/>
  <c r="D446" i="9" s="1"/>
  <c r="F442" i="9"/>
  <c r="F441" i="9"/>
  <c r="D441" i="9"/>
  <c r="D442" i="9" s="1"/>
  <c r="F438" i="9"/>
  <c r="F437" i="9"/>
  <c r="F436" i="9"/>
  <c r="F435" i="9"/>
  <c r="D435" i="9"/>
  <c r="D436" i="9" s="1"/>
  <c r="D437" i="9" s="1"/>
  <c r="D438" i="9" s="1"/>
  <c r="F432" i="9"/>
  <c r="F431" i="9"/>
  <c r="F430" i="9"/>
  <c r="F429" i="9"/>
  <c r="F428" i="9"/>
  <c r="F427" i="9"/>
  <c r="D427" i="9"/>
  <c r="D428" i="9" s="1"/>
  <c r="D429" i="9" s="1"/>
  <c r="D430" i="9" s="1"/>
  <c r="D431" i="9" s="1"/>
  <c r="D432" i="9" s="1"/>
  <c r="F424" i="9"/>
  <c r="F423" i="9"/>
  <c r="F422" i="9"/>
  <c r="D422" i="9"/>
  <c r="D423" i="9" s="1"/>
  <c r="D424" i="9" s="1"/>
  <c r="F419" i="9"/>
  <c r="F418" i="9"/>
  <c r="D418" i="9"/>
  <c r="D419" i="9" s="1"/>
  <c r="F415" i="9"/>
  <c r="F414" i="9"/>
  <c r="F413" i="9"/>
  <c r="D413" i="9"/>
  <c r="D414" i="9" s="1"/>
  <c r="D415" i="9" s="1"/>
  <c r="F410" i="9"/>
  <c r="F409" i="9"/>
  <c r="D409" i="9"/>
  <c r="D410" i="9" s="1"/>
  <c r="F406" i="9"/>
  <c r="F405" i="9"/>
  <c r="F404" i="9"/>
  <c r="D404" i="9"/>
  <c r="D405" i="9" s="1"/>
  <c r="D406" i="9" s="1"/>
  <c r="F401" i="9"/>
  <c r="F400" i="9"/>
  <c r="F399" i="9"/>
  <c r="F398" i="9"/>
  <c r="D398" i="9"/>
  <c r="D399" i="9" s="1"/>
  <c r="D400" i="9" s="1"/>
  <c r="D401" i="9" s="1"/>
  <c r="F395" i="9"/>
  <c r="F389" i="9"/>
  <c r="F388" i="9"/>
  <c r="F387" i="9"/>
  <c r="F386" i="9"/>
  <c r="F385" i="9"/>
  <c r="D385" i="9"/>
  <c r="D386" i="9" s="1"/>
  <c r="D387" i="9" s="1"/>
  <c r="D388" i="9" s="1"/>
  <c r="D389" i="9" s="1"/>
  <c r="F382" i="9"/>
  <c r="F381" i="9"/>
  <c r="F380" i="9"/>
  <c r="D380" i="9"/>
  <c r="D381" i="9" s="1"/>
  <c r="D382" i="9" s="1"/>
  <c r="F377" i="9"/>
  <c r="F376" i="9"/>
  <c r="F375" i="9"/>
  <c r="D375" i="9"/>
  <c r="D376" i="9" s="1"/>
  <c r="D377" i="9" s="1"/>
  <c r="F372" i="9"/>
  <c r="F371" i="9"/>
  <c r="F370" i="9"/>
  <c r="D370" i="9"/>
  <c r="D371" i="9" s="1"/>
  <c r="D372" i="9" s="1"/>
  <c r="F367" i="9"/>
  <c r="F366" i="9"/>
  <c r="F365" i="9"/>
  <c r="F364" i="9"/>
  <c r="F363" i="9"/>
  <c r="D363" i="9"/>
  <c r="D364" i="9" s="1"/>
  <c r="D365" i="9" s="1"/>
  <c r="D366" i="9" s="1"/>
  <c r="D367" i="9" s="1"/>
  <c r="F360" i="9"/>
  <c r="F359" i="9"/>
  <c r="F358" i="9"/>
  <c r="D358" i="9"/>
  <c r="D359" i="9" s="1"/>
  <c r="D360" i="9" s="1"/>
  <c r="F355" i="9"/>
  <c r="F354" i="9"/>
  <c r="F353" i="9"/>
  <c r="F352" i="9"/>
  <c r="D352" i="9"/>
  <c r="D353" i="9" s="1"/>
  <c r="D354" i="9" s="1"/>
  <c r="D355" i="9" s="1"/>
  <c r="F349" i="9"/>
  <c r="F348" i="9"/>
  <c r="F347" i="9"/>
  <c r="F346" i="9"/>
  <c r="F345" i="9"/>
  <c r="F344" i="9"/>
  <c r="D344" i="9"/>
  <c r="D345" i="9" s="1"/>
  <c r="D346" i="9" s="1"/>
  <c r="D347" i="9" s="1"/>
  <c r="D348" i="9" s="1"/>
  <c r="D349" i="9" s="1"/>
  <c r="F341" i="9"/>
  <c r="F340" i="9"/>
  <c r="F339" i="9"/>
  <c r="D339" i="9"/>
  <c r="D340" i="9" s="1"/>
  <c r="D341" i="9" s="1"/>
  <c r="F336" i="9"/>
  <c r="F335" i="9"/>
  <c r="D335" i="9"/>
  <c r="D336" i="9" s="1"/>
  <c r="F332" i="9"/>
  <c r="F330" i="9"/>
  <c r="D330" i="9"/>
  <c r="D331" i="9" s="1"/>
  <c r="D332" i="9" s="1"/>
  <c r="F327" i="9"/>
  <c r="F326" i="9"/>
  <c r="F325" i="9"/>
  <c r="D325" i="9"/>
  <c r="D326" i="9" s="1"/>
  <c r="D327" i="9" s="1"/>
  <c r="F322" i="9"/>
  <c r="F321" i="9"/>
  <c r="F320" i="9"/>
  <c r="F319" i="9"/>
  <c r="D319" i="9"/>
  <c r="D320" i="9" s="1"/>
  <c r="D321" i="9" s="1"/>
  <c r="D322" i="9" s="1"/>
  <c r="F315" i="9"/>
  <c r="F313" i="9"/>
  <c r="D313" i="9"/>
  <c r="D314" i="9" s="1"/>
  <c r="D315" i="9" s="1"/>
  <c r="F310" i="9"/>
  <c r="D309" i="9"/>
  <c r="D310" i="9" s="1"/>
  <c r="F305" i="9"/>
  <c r="D305" i="9"/>
  <c r="D306" i="9" s="1"/>
  <c r="F302" i="9"/>
  <c r="F301" i="9"/>
  <c r="F300" i="9"/>
  <c r="D300" i="9"/>
  <c r="D301" i="9" s="1"/>
  <c r="D302" i="9" s="1"/>
  <c r="F297" i="9"/>
  <c r="F296" i="9"/>
  <c r="D296" i="9"/>
  <c r="D297" i="9" s="1"/>
  <c r="F292" i="9"/>
  <c r="F291" i="9"/>
  <c r="D291" i="9"/>
  <c r="D292" i="9" s="1"/>
  <c r="D293" i="9" s="1"/>
  <c r="F288" i="9"/>
  <c r="D287" i="9"/>
  <c r="D288" i="9" s="1"/>
  <c r="F283" i="9"/>
  <c r="D283" i="9"/>
  <c r="D284" i="9" s="1"/>
  <c r="F279" i="9"/>
  <c r="D279" i="9"/>
  <c r="D280" i="9" s="1"/>
  <c r="F275" i="9"/>
  <c r="D275" i="9"/>
  <c r="D276" i="9" s="1"/>
  <c r="F271" i="9"/>
  <c r="F270" i="9"/>
  <c r="D270" i="9"/>
  <c r="D271" i="9" s="1"/>
  <c r="D272" i="9" s="1"/>
  <c r="F266" i="9"/>
  <c r="D266" i="9"/>
  <c r="D267" i="9" s="1"/>
  <c r="F263" i="9"/>
  <c r="F262" i="9"/>
  <c r="F261" i="9"/>
  <c r="F260" i="9"/>
  <c r="F259" i="9"/>
  <c r="D259" i="9"/>
  <c r="D260" i="9" s="1"/>
  <c r="D261" i="9" s="1"/>
  <c r="D262" i="9" s="1"/>
  <c r="D263" i="9" s="1"/>
  <c r="F256" i="9"/>
  <c r="F255" i="9"/>
  <c r="D254" i="9"/>
  <c r="D255" i="9" s="1"/>
  <c r="D256" i="9" s="1"/>
  <c r="F251" i="9"/>
  <c r="F249" i="9"/>
  <c r="F248" i="9"/>
  <c r="D248" i="9"/>
  <c r="D249" i="9" s="1"/>
  <c r="D250" i="9" s="1"/>
  <c r="D251" i="9" s="1"/>
  <c r="F244" i="9"/>
  <c r="F243" i="9"/>
  <c r="F242" i="9"/>
  <c r="F241" i="9"/>
  <c r="F240" i="9"/>
  <c r="D240" i="9"/>
  <c r="D241" i="9" s="1"/>
  <c r="D242" i="9" s="1"/>
  <c r="D243" i="9" s="1"/>
  <c r="D244" i="9" s="1"/>
  <c r="F237" i="9"/>
  <c r="F236" i="9"/>
  <c r="F235" i="9"/>
  <c r="D235" i="9"/>
  <c r="D236" i="9" s="1"/>
  <c r="D237" i="9" s="1"/>
  <c r="F232" i="9"/>
  <c r="F230" i="9"/>
  <c r="D230" i="9"/>
  <c r="D231" i="9" s="1"/>
  <c r="D232" i="9" s="1"/>
  <c r="F227" i="9"/>
  <c r="F226" i="9"/>
  <c r="D226" i="9"/>
  <c r="D227" i="9" s="1"/>
  <c r="F223" i="9"/>
  <c r="F222" i="9"/>
  <c r="D222" i="9"/>
  <c r="D223" i="9" s="1"/>
  <c r="F218" i="9"/>
  <c r="D217" i="9"/>
  <c r="D218" i="9" s="1"/>
  <c r="F213" i="9"/>
  <c r="F212" i="9"/>
  <c r="D212" i="9"/>
  <c r="D213" i="9" s="1"/>
  <c r="D214" i="9" s="1"/>
  <c r="F209" i="9"/>
  <c r="D208" i="9"/>
  <c r="D209" i="9" s="1"/>
  <c r="F205" i="9"/>
  <c r="F204" i="9"/>
  <c r="F203" i="9"/>
  <c r="F202" i="9"/>
  <c r="D202" i="9"/>
  <c r="D203" i="9" s="1"/>
  <c r="D204" i="9" s="1"/>
  <c r="D205" i="9" s="1"/>
  <c r="F199" i="9"/>
  <c r="F198" i="9"/>
  <c r="D198" i="9"/>
  <c r="D199" i="9" s="1"/>
  <c r="F194" i="9"/>
  <c r="D194" i="9"/>
  <c r="D195" i="9" s="1"/>
  <c r="F191" i="9"/>
  <c r="F190" i="9"/>
  <c r="D190" i="9"/>
  <c r="D191" i="9" s="1"/>
  <c r="F187" i="9"/>
  <c r="F185" i="9"/>
  <c r="D185" i="9"/>
  <c r="F182" i="9"/>
  <c r="F181" i="9"/>
  <c r="F180" i="9"/>
  <c r="F179" i="9"/>
  <c r="F178" i="9"/>
  <c r="F177" i="9"/>
  <c r="D177" i="9"/>
  <c r="D178" i="9" s="1"/>
  <c r="D179" i="9" s="1"/>
  <c r="D180" i="9" s="1"/>
  <c r="D181" i="9" s="1"/>
  <c r="D182" i="9" s="1"/>
  <c r="F174" i="9"/>
  <c r="F173" i="9"/>
  <c r="F172" i="9"/>
  <c r="F171" i="9"/>
  <c r="F170" i="9"/>
  <c r="D170" i="9"/>
  <c r="D171" i="9" s="1"/>
  <c r="D172" i="9" s="1"/>
  <c r="D173" i="9" s="1"/>
  <c r="D174" i="9" s="1"/>
  <c r="F167" i="9"/>
  <c r="F166" i="9"/>
  <c r="F165" i="9"/>
  <c r="F164" i="9"/>
  <c r="F163" i="9"/>
  <c r="F162" i="9"/>
  <c r="D162" i="9"/>
  <c r="D163" i="9" s="1"/>
  <c r="D164" i="9" s="1"/>
  <c r="D165" i="9" s="1"/>
  <c r="D166" i="9" s="1"/>
  <c r="D167" i="9" s="1"/>
  <c r="F159" i="9"/>
  <c r="F158" i="9"/>
  <c r="F157" i="9"/>
  <c r="F156" i="9"/>
  <c r="F155" i="9"/>
  <c r="D155" i="9"/>
  <c r="D156" i="9" s="1"/>
  <c r="D157" i="9" s="1"/>
  <c r="D158" i="9" s="1"/>
  <c r="D159" i="9" s="1"/>
  <c r="F152" i="9"/>
  <c r="F151" i="9"/>
  <c r="F150" i="9"/>
  <c r="F149" i="9"/>
  <c r="D149" i="9"/>
  <c r="D150" i="9" s="1"/>
  <c r="D151" i="9" s="1"/>
  <c r="D152" i="9" s="1"/>
  <c r="F146" i="9"/>
  <c r="F145" i="9"/>
  <c r="D145" i="9"/>
  <c r="F142" i="9"/>
  <c r="F140" i="9"/>
  <c r="D140" i="9"/>
  <c r="D141" i="9" s="1"/>
  <c r="F136" i="9"/>
  <c r="D136" i="9"/>
  <c r="D137" i="9" s="1"/>
  <c r="F133" i="9"/>
  <c r="F132" i="9"/>
  <c r="F130" i="9"/>
  <c r="D130" i="9"/>
  <c r="D131" i="9" s="1"/>
  <c r="D132" i="9" s="1"/>
  <c r="D133" i="9" s="1"/>
  <c r="F127" i="9"/>
  <c r="F126" i="9"/>
  <c r="F124" i="9"/>
  <c r="D124" i="9"/>
  <c r="D125" i="9" s="1"/>
  <c r="D126" i="9" s="1"/>
  <c r="D127" i="9" s="1"/>
  <c r="F121" i="9"/>
  <c r="F119" i="9"/>
  <c r="D119" i="9"/>
  <c r="D120" i="9" s="1"/>
  <c r="D121" i="9" s="1"/>
  <c r="F116" i="9"/>
  <c r="F115" i="9"/>
  <c r="F114" i="9"/>
  <c r="D114" i="9"/>
  <c r="D115" i="9" s="1"/>
  <c r="D116" i="9" s="1"/>
  <c r="F111" i="9"/>
  <c r="F110" i="9"/>
  <c r="F109" i="9"/>
  <c r="D109" i="9"/>
  <c r="D110" i="9" s="1"/>
  <c r="D111" i="9" s="1"/>
  <c r="F106" i="9"/>
  <c r="F105" i="9"/>
  <c r="F104" i="9"/>
  <c r="F103" i="9"/>
  <c r="F102" i="9"/>
  <c r="F101" i="9"/>
  <c r="F100" i="9"/>
  <c r="F99" i="9"/>
  <c r="D99" i="9"/>
  <c r="D100" i="9" s="1"/>
  <c r="D101" i="9" s="1"/>
  <c r="D102" i="9" s="1"/>
  <c r="D103" i="9" s="1"/>
  <c r="D104" i="9" s="1"/>
  <c r="D105" i="9" s="1"/>
  <c r="D106" i="9" s="1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D72" i="9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F69" i="9"/>
  <c r="F68" i="9"/>
  <c r="F67" i="9"/>
  <c r="F66" i="9"/>
  <c r="F65" i="9"/>
  <c r="F64" i="9"/>
  <c r="F63" i="9"/>
  <c r="F62" i="9"/>
  <c r="F61" i="9"/>
  <c r="F60" i="9"/>
  <c r="F59" i="9"/>
  <c r="D59" i="9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F56" i="9"/>
  <c r="F55" i="9"/>
  <c r="F54" i="9"/>
  <c r="F53" i="9"/>
  <c r="F52" i="9"/>
  <c r="F51" i="9"/>
  <c r="D51" i="9"/>
  <c r="D52" i="9" s="1"/>
  <c r="D53" i="9" s="1"/>
  <c r="D54" i="9" s="1"/>
  <c r="D55" i="9" s="1"/>
  <c r="D56" i="9" s="1"/>
  <c r="F48" i="9"/>
  <c r="F47" i="9"/>
  <c r="F46" i="9"/>
  <c r="F45" i="9"/>
  <c r="F44" i="9"/>
  <c r="F43" i="9"/>
  <c r="F42" i="9"/>
  <c r="D42" i="9"/>
  <c r="D43" i="9" s="1"/>
  <c r="D44" i="9" s="1"/>
  <c r="D45" i="9" s="1"/>
  <c r="D46" i="9" s="1"/>
  <c r="D47" i="9" s="1"/>
  <c r="D48" i="9" s="1"/>
  <c r="F39" i="9"/>
  <c r="F38" i="9"/>
  <c r="F37" i="9"/>
  <c r="D37" i="9"/>
  <c r="D38" i="9" s="1"/>
  <c r="D39" i="9" s="1"/>
  <c r="F34" i="9"/>
  <c r="F33" i="9"/>
  <c r="F32" i="9"/>
  <c r="F30" i="9"/>
  <c r="F29" i="9"/>
  <c r="F28" i="9"/>
  <c r="D28" i="9"/>
  <c r="D29" i="9" s="1"/>
  <c r="D30" i="9" s="1"/>
  <c r="D31" i="9" s="1"/>
  <c r="D32" i="9" s="1"/>
  <c r="D33" i="9" s="1"/>
  <c r="D34" i="9" s="1"/>
  <c r="F25" i="9"/>
  <c r="F24" i="9"/>
  <c r="F23" i="9"/>
  <c r="F22" i="9"/>
  <c r="F21" i="9"/>
  <c r="D186" i="9" l="1"/>
  <c r="D187" i="9" s="1"/>
</calcChain>
</file>

<file path=xl/sharedStrings.xml><?xml version="1.0" encoding="utf-8"?>
<sst xmlns="http://schemas.openxmlformats.org/spreadsheetml/2006/main" count="1194" uniqueCount="1017">
  <si>
    <t>Date</t>
  </si>
  <si>
    <t>Video len</t>
  </si>
  <si>
    <t>1.1.1.1</t>
  </si>
  <si>
    <t>Start</t>
  </si>
  <si>
    <t>End</t>
  </si>
  <si>
    <t>Ref</t>
  </si>
  <si>
    <t>Sub Serial</t>
  </si>
  <si>
    <t>min.sec</t>
  </si>
  <si>
    <t>1.1.2.1</t>
  </si>
  <si>
    <t>1.1.3.1</t>
  </si>
  <si>
    <t>1.1.4.1</t>
  </si>
  <si>
    <t>1.1.5.1</t>
  </si>
  <si>
    <t>by Ref</t>
  </si>
  <si>
    <t>Remarks</t>
  </si>
  <si>
    <t>Web link</t>
  </si>
  <si>
    <t>Video</t>
  </si>
  <si>
    <t>No.</t>
  </si>
  <si>
    <t>1.1.6.1</t>
  </si>
  <si>
    <t>1.1.7.1</t>
  </si>
  <si>
    <t>1.1.8.1</t>
  </si>
  <si>
    <t>1.1.9.1</t>
  </si>
  <si>
    <t>1.1.10.1</t>
  </si>
  <si>
    <t>1.1.11.1</t>
  </si>
  <si>
    <t>1.1.12.1</t>
  </si>
  <si>
    <t>1.1.13.1</t>
  </si>
  <si>
    <t>1.1.14.1</t>
  </si>
  <si>
    <t>1.2.1.1</t>
  </si>
  <si>
    <t>1.2.2.1</t>
  </si>
  <si>
    <t>1.2.3.1</t>
  </si>
  <si>
    <t>1.2.3.2</t>
  </si>
  <si>
    <t xml:space="preserve">Speech </t>
  </si>
  <si>
    <t>1.2.4.1</t>
  </si>
  <si>
    <t>1.2.5.1</t>
  </si>
  <si>
    <t>1.2.6.1</t>
  </si>
  <si>
    <t>1.2.7.1</t>
  </si>
  <si>
    <t>1.2.8.1</t>
  </si>
  <si>
    <t>1.2.9.1</t>
  </si>
  <si>
    <t>1.2.10.1</t>
  </si>
  <si>
    <t>samhitA</t>
  </si>
  <si>
    <t>1.2.11.1</t>
  </si>
  <si>
    <t>1.2.12.1</t>
  </si>
  <si>
    <t>1.2.13.1</t>
  </si>
  <si>
    <t>1.2.14.6</t>
  </si>
  <si>
    <t>13/07/2020</t>
  </si>
  <si>
    <t>1.2.14.7</t>
  </si>
  <si>
    <t>1.3.1.1</t>
  </si>
  <si>
    <t>1.3.2.1</t>
  </si>
  <si>
    <t>1.3.3.1</t>
  </si>
  <si>
    <t>1.3.4.1</t>
  </si>
  <si>
    <t>1.3.5.1</t>
  </si>
  <si>
    <t>1.3.6.1</t>
  </si>
  <si>
    <t>1.3.7.1</t>
  </si>
  <si>
    <t>14/07/2020</t>
  </si>
  <si>
    <t>1.3.8.1</t>
  </si>
  <si>
    <t>1.3.9.1</t>
  </si>
  <si>
    <t>1.3.10.1</t>
  </si>
  <si>
    <t>1.3.11.1</t>
  </si>
  <si>
    <t>1.3.12.1</t>
  </si>
  <si>
    <t>1.3.13.1</t>
  </si>
  <si>
    <t>1.3.14.1</t>
  </si>
  <si>
    <t>15/07/2020</t>
  </si>
  <si>
    <t>1.3.14.5</t>
  </si>
  <si>
    <t>1.4.1.1</t>
  </si>
  <si>
    <t>1.4.2.1</t>
  </si>
  <si>
    <t>1.4.3.1</t>
  </si>
  <si>
    <t>1.4.4.1</t>
  </si>
  <si>
    <t>1.4.5.1</t>
  </si>
  <si>
    <t>1.4.6.1</t>
  </si>
  <si>
    <t>1.4.7.1</t>
  </si>
  <si>
    <t>1.4.8.1</t>
  </si>
  <si>
    <t>1.4.9.1</t>
  </si>
  <si>
    <t>1.4.10.1</t>
  </si>
  <si>
    <t>1.4.11.1</t>
  </si>
  <si>
    <t>16/07/2020</t>
  </si>
  <si>
    <t>1.4.12.1</t>
  </si>
  <si>
    <t>1.4.13.1</t>
  </si>
  <si>
    <t>1.4.14.1</t>
  </si>
  <si>
    <t>1.4.16.1</t>
  </si>
  <si>
    <t>1.4.17.1</t>
  </si>
  <si>
    <t>1.4.15.1</t>
  </si>
  <si>
    <t>1.4.18.1</t>
  </si>
  <si>
    <t>1.4.19.1</t>
  </si>
  <si>
    <t>1.4.20.1</t>
  </si>
  <si>
    <t>1.4.21.1</t>
  </si>
  <si>
    <t>1.4.22.1</t>
  </si>
  <si>
    <t>1.4.23.1</t>
  </si>
  <si>
    <t>1.4.24.1</t>
  </si>
  <si>
    <t>1.4.25.1</t>
  </si>
  <si>
    <t>1.4.26.1</t>
  </si>
  <si>
    <t>1.4.27.1</t>
  </si>
  <si>
    <t>1.4.28.1</t>
  </si>
  <si>
    <t>1.4.29.1</t>
  </si>
  <si>
    <t>1.4.30.1</t>
  </si>
  <si>
    <t>1.4.31.1</t>
  </si>
  <si>
    <t>1.4.32.1</t>
  </si>
  <si>
    <t>1.4.33.1</t>
  </si>
  <si>
    <t>1.4.34.1</t>
  </si>
  <si>
    <t>1.4.35.1</t>
  </si>
  <si>
    <t>1.4.36.1</t>
  </si>
  <si>
    <t>1.4.37.1</t>
  </si>
  <si>
    <t>1.4.38.1</t>
  </si>
  <si>
    <t>1.4.39.1</t>
  </si>
  <si>
    <t>17/07/2020</t>
  </si>
  <si>
    <t>1.4.40.1</t>
  </si>
  <si>
    <t>1.4.41.1</t>
  </si>
  <si>
    <t>1.4.42.1</t>
  </si>
  <si>
    <t>1.4.43.1</t>
  </si>
  <si>
    <t>1.4.44.1</t>
  </si>
  <si>
    <t>1.4.45.1</t>
  </si>
  <si>
    <t>1.4.46.1</t>
  </si>
  <si>
    <t>cut 1 jatai</t>
  </si>
  <si>
    <t>18/07/2020</t>
  </si>
  <si>
    <t>1.5.1.1</t>
  </si>
  <si>
    <t>19/07/2020</t>
  </si>
  <si>
    <t>1.5.2.1</t>
  </si>
  <si>
    <t>1.5.3.1</t>
  </si>
  <si>
    <t>1.5.4.1</t>
  </si>
  <si>
    <t>1.5.5.1</t>
  </si>
  <si>
    <t>1.5.6.1</t>
  </si>
  <si>
    <t>1.5.7.1</t>
  </si>
  <si>
    <t>1.5.8.1</t>
  </si>
  <si>
    <t>20/07/2020</t>
  </si>
  <si>
    <t>1.5.8.4</t>
  </si>
  <si>
    <t>1.5.9.1</t>
  </si>
  <si>
    <t>1.5.10.1</t>
  </si>
  <si>
    <t>1.5.11.1</t>
  </si>
  <si>
    <t>talk</t>
  </si>
  <si>
    <t>21/07/2020</t>
  </si>
  <si>
    <t>1.5.11.5</t>
  </si>
  <si>
    <t>1.6.1.1</t>
  </si>
  <si>
    <t>1.6.2.1</t>
  </si>
  <si>
    <t>1.6.3.1</t>
  </si>
  <si>
    <t>1.6.4.1</t>
  </si>
  <si>
    <t>22/07/2020</t>
  </si>
  <si>
    <t>1.6.5.1</t>
  </si>
  <si>
    <t>1.00.02</t>
  </si>
  <si>
    <t>1.6.6.1</t>
  </si>
  <si>
    <t>Speech</t>
  </si>
  <si>
    <t>1.6.7.1</t>
  </si>
  <si>
    <t>1.6.8.1</t>
  </si>
  <si>
    <t>1.6.9.1</t>
  </si>
  <si>
    <t>23/07/2020</t>
  </si>
  <si>
    <t>1.6.9.2</t>
  </si>
  <si>
    <t>1.6.10.1</t>
  </si>
  <si>
    <t>1.6.11.5</t>
  </si>
  <si>
    <t>24/07/2020</t>
  </si>
  <si>
    <t>1.6.11.6</t>
  </si>
  <si>
    <t>1.6.12.1</t>
  </si>
  <si>
    <t>25/07/2020</t>
  </si>
  <si>
    <t>1.7.1.1</t>
  </si>
  <si>
    <t>1.7.2.1</t>
  </si>
  <si>
    <t>1.7.2.2</t>
  </si>
  <si>
    <t>1.7.3.1</t>
  </si>
  <si>
    <t>1.7.4.1</t>
  </si>
  <si>
    <t>26/07/2020</t>
  </si>
  <si>
    <t>1.7.4.6</t>
  </si>
  <si>
    <t>1.7.5.1</t>
  </si>
  <si>
    <t>1.7.6.1</t>
  </si>
  <si>
    <t>1.7.7.1</t>
  </si>
  <si>
    <t>1.7.8.1</t>
  </si>
  <si>
    <t>27/07/2020</t>
  </si>
  <si>
    <t>1.7.8.2</t>
  </si>
  <si>
    <t>1.7.9.1</t>
  </si>
  <si>
    <t>1.7.10.1</t>
  </si>
  <si>
    <t>1.7.11.1</t>
  </si>
  <si>
    <t>1.7.12.1</t>
  </si>
  <si>
    <t>1.7.13.1</t>
  </si>
  <si>
    <t>28/07/2020</t>
  </si>
  <si>
    <t>1.7.13.3</t>
  </si>
  <si>
    <t>1.8.1.1</t>
  </si>
  <si>
    <t>1.8.2.1</t>
  </si>
  <si>
    <t>1.8.3.1</t>
  </si>
  <si>
    <t>1.8.4.1</t>
  </si>
  <si>
    <t>1.8.5.1</t>
  </si>
  <si>
    <t>1.8.6.1</t>
  </si>
  <si>
    <t>29/07/2020</t>
  </si>
  <si>
    <t>1.8.7.1</t>
  </si>
  <si>
    <t>1.8.8.1</t>
  </si>
  <si>
    <t>1.8.9.1</t>
  </si>
  <si>
    <t>1.8.10.1</t>
  </si>
  <si>
    <t>1.8.11.1</t>
  </si>
  <si>
    <t>1.8.12.1</t>
  </si>
  <si>
    <t>18.12.2</t>
  </si>
  <si>
    <t>1.7.13.2</t>
  </si>
  <si>
    <t>1.6.11.1</t>
  </si>
  <si>
    <t>1.5.11.4</t>
  </si>
  <si>
    <t>1.3.14.4</t>
  </si>
  <si>
    <t>1.8.12.3</t>
  </si>
  <si>
    <t>1.8.13.1</t>
  </si>
  <si>
    <t>1.8.14.1</t>
  </si>
  <si>
    <t>1.8.15.1</t>
  </si>
  <si>
    <t>1.8.16.1</t>
  </si>
  <si>
    <t>1.8.17.1</t>
  </si>
  <si>
    <t>1.8.18.1</t>
  </si>
  <si>
    <t>1.8.19.1</t>
  </si>
  <si>
    <t>1.8.20.1</t>
  </si>
  <si>
    <t>1.8.21.1</t>
  </si>
  <si>
    <t>1.8.22.1</t>
  </si>
  <si>
    <t>2.1.1.1</t>
  </si>
  <si>
    <t>https://www.youtube.com/watch?v=fwQugM1P_7c</t>
  </si>
  <si>
    <t>2.1.2.1</t>
  </si>
  <si>
    <t>2.1.3.1</t>
  </si>
  <si>
    <t>https://www.youtube.com/watch?v=hwx-JaRX2Yk</t>
  </si>
  <si>
    <t>2.1.3.2</t>
  </si>
  <si>
    <t>2.1.4.1</t>
  </si>
  <si>
    <t>2.1.5.1</t>
  </si>
  <si>
    <t>2.1.5.4</t>
  </si>
  <si>
    <t>https://www.youtube.com/watch?v=RJ0rC1roGYE</t>
  </si>
  <si>
    <t>2.1.5.5</t>
  </si>
  <si>
    <t>2.1.6.1</t>
  </si>
  <si>
    <t>2.1.7.1</t>
  </si>
  <si>
    <t>1.02.20</t>
  </si>
  <si>
    <t>https://www.youtube.com/watch?v=mIeanN8xfH4</t>
  </si>
  <si>
    <t>2.1.7.4</t>
  </si>
  <si>
    <t>2.1.7.5</t>
  </si>
  <si>
    <t>2.1.8.1</t>
  </si>
  <si>
    <t>2.1.9.1</t>
  </si>
  <si>
    <t>2.1.10.1</t>
  </si>
  <si>
    <t>2.1.11.1</t>
  </si>
  <si>
    <t>1.01.14</t>
  </si>
  <si>
    <t>2.1.11.3</t>
  </si>
  <si>
    <t>middle of panchati 63</t>
  </si>
  <si>
    <t>https://www.youtube.com/watch?v=0OzeWqF-AhY</t>
  </si>
  <si>
    <t>2.2.1.1</t>
  </si>
  <si>
    <t>2.2.2.1</t>
  </si>
  <si>
    <t>2.2.2.4</t>
  </si>
  <si>
    <t>https://www.youtube.com/watch?v=lD0HsYpJSPM</t>
  </si>
  <si>
    <t>2.2.2.5</t>
  </si>
  <si>
    <t>2.2.3.1</t>
  </si>
  <si>
    <t>2.2.4.1</t>
  </si>
  <si>
    <t>2.2.5.1</t>
  </si>
  <si>
    <t>https://www.youtube.com/watch?v=Zn56LE65b8w</t>
  </si>
  <si>
    <t>2.2.5.2</t>
  </si>
  <si>
    <t>2.2.6.1</t>
  </si>
  <si>
    <t>2.2.7.1</t>
  </si>
  <si>
    <t>2.2.7.2</t>
  </si>
  <si>
    <t>https://www.youtube.com/watch?v=wz1EkrYf3Fs</t>
  </si>
  <si>
    <t>2.2.7.3</t>
  </si>
  <si>
    <t>2.2.8.1</t>
  </si>
  <si>
    <t>2.2.9.1</t>
  </si>
  <si>
    <t>2.2.9.6</t>
  </si>
  <si>
    <t>2.2.9.5</t>
  </si>
  <si>
    <t>2.2.10.1</t>
  </si>
  <si>
    <t>2.2.11.1</t>
  </si>
  <si>
    <t>2.2.11.5</t>
  </si>
  <si>
    <t>https://www.youtube.com/watch?v=MII0-WMiCRA</t>
  </si>
  <si>
    <t>2.2.11.6</t>
  </si>
  <si>
    <t>2.2.12.1</t>
  </si>
  <si>
    <t>2.3.1.1</t>
  </si>
  <si>
    <t>2.3.2.1</t>
  </si>
  <si>
    <t>https://www.youtube.com/watch?v=CA6Q0-2-65s</t>
  </si>
  <si>
    <t>https://www.youtube.com/watch?v=wvlgaiNAuic</t>
  </si>
  <si>
    <t>2.3.2.3</t>
  </si>
  <si>
    <t>2.3.2.2</t>
  </si>
  <si>
    <t>2.3.4.1</t>
  </si>
  <si>
    <t>2.3.3.1</t>
  </si>
  <si>
    <t>2.3.5.1</t>
  </si>
  <si>
    <t>2.3.5.2</t>
  </si>
  <si>
    <t>12-08--2020</t>
  </si>
  <si>
    <t>2.3.5.3</t>
  </si>
  <si>
    <t>2.3.6.1</t>
  </si>
  <si>
    <t>2.3.7.1</t>
  </si>
  <si>
    <t>2.3.8.1</t>
  </si>
  <si>
    <t>2.3.9.1</t>
  </si>
  <si>
    <t>2.3.10.1</t>
  </si>
  <si>
    <t>https://www.youtube.com/watch?v=XUXikdynlU8</t>
  </si>
  <si>
    <t>1.00.40</t>
  </si>
  <si>
    <t>2.3.10.2</t>
  </si>
  <si>
    <t>2.3.10.3</t>
  </si>
  <si>
    <t>https://www.youtube.com/watch?v=Hccmfk_D_Zg</t>
  </si>
  <si>
    <t>2.3.11.1</t>
  </si>
  <si>
    <t>2.3.12.1</t>
  </si>
  <si>
    <t>2.3.13.1</t>
  </si>
  <si>
    <t>2.3.14.1</t>
  </si>
  <si>
    <t>2.3.14.4</t>
  </si>
  <si>
    <t>https://www.youtube.com/watch?v=DGPjlAB2KoA</t>
  </si>
  <si>
    <t>2.3.14.5</t>
  </si>
  <si>
    <t>2.4.1.1</t>
  </si>
  <si>
    <t>2.4.2.1</t>
  </si>
  <si>
    <t>2.4.3.1</t>
  </si>
  <si>
    <t>2.4.4.1</t>
  </si>
  <si>
    <t>https://www.youtube.com/watch?v=Rj9ExkSl0NE</t>
  </si>
  <si>
    <t>2.4.5.1</t>
  </si>
  <si>
    <t>2.4.6.1</t>
  </si>
  <si>
    <t>2.4.7.1</t>
  </si>
  <si>
    <t>2.4.8.1</t>
  </si>
  <si>
    <t>2.4.9.1</t>
  </si>
  <si>
    <t>https://www.youtube.com/watch?v=kIcQlCFRm98</t>
  </si>
  <si>
    <t>2.4.10.1</t>
  </si>
  <si>
    <t>2.4.11.1</t>
  </si>
  <si>
    <t>2.4.12.1</t>
  </si>
  <si>
    <t>https://www.youtube.com/watch?v=sJb6BxJ7Mg4</t>
  </si>
  <si>
    <t>2.4.12.5</t>
  </si>
  <si>
    <t>2.4.12.6</t>
  </si>
  <si>
    <t>2.4.13.1</t>
  </si>
  <si>
    <t>2.4.14.1</t>
  </si>
  <si>
    <t>2.5.1.1</t>
  </si>
  <si>
    <t>https://www.youtube.com/watch?v=sz5MVQljUUI</t>
  </si>
  <si>
    <t>2.5.1.5</t>
  </si>
  <si>
    <t>2.5.1.6</t>
  </si>
  <si>
    <t>2.5.2.1</t>
  </si>
  <si>
    <t>audio disc</t>
  </si>
  <si>
    <t>2.5.3.1</t>
  </si>
  <si>
    <t>There is a skip of 20/30 padams start end of anuvaakam not known</t>
  </si>
  <si>
    <t>https://www.youtube.com/watch?v=LZAyORBWHkc&amp;frags=pl%2Cwn</t>
  </si>
  <si>
    <t>2.5.3.5</t>
  </si>
  <si>
    <t>2.5.3.6</t>
  </si>
  <si>
    <t>2.5.4.1</t>
  </si>
  <si>
    <t>2.5.5.1</t>
  </si>
  <si>
    <t>https://www.youtube.com/watch?v=msMS_nQsy_g</t>
  </si>
  <si>
    <t>2.5.6.1</t>
  </si>
  <si>
    <t>2.5.7.1</t>
  </si>
  <si>
    <t>2.5.8.1</t>
  </si>
  <si>
    <t>2.5.8.2</t>
  </si>
  <si>
    <t>https://www.youtube.com/watch?v=wcnTT6usKm8</t>
  </si>
  <si>
    <t>2.5.8.3</t>
  </si>
  <si>
    <t>2.5.9.1</t>
  </si>
  <si>
    <t>2.5.10.1</t>
  </si>
  <si>
    <t>2.5.10.3</t>
  </si>
  <si>
    <t>1.00.00</t>
  </si>
  <si>
    <t>2.5.10.4</t>
  </si>
  <si>
    <t>2.5.11.1</t>
  </si>
  <si>
    <t>2.5.12.1</t>
  </si>
  <si>
    <t>2.6.1.1</t>
  </si>
  <si>
    <t>2.6.1.2</t>
  </si>
  <si>
    <t>https://www.youtube.com/watch?v=5_te7lMUnJY</t>
  </si>
  <si>
    <t>2.6.2.1</t>
  </si>
  <si>
    <t>2.6.3.1</t>
  </si>
  <si>
    <t>2.6.3.2</t>
  </si>
  <si>
    <t>2.6.3.3</t>
  </si>
  <si>
    <t>https://www.youtube.com/watch?v=vwzr-rmCAIg</t>
  </si>
  <si>
    <t>2.6.4.1</t>
  </si>
  <si>
    <t>2.6.5.1</t>
  </si>
  <si>
    <t>2.6.6.1</t>
  </si>
  <si>
    <t>2.6.6.2</t>
  </si>
  <si>
    <t>https://www.youtube.com/watch?v=UZn5nE2O5Xo</t>
  </si>
  <si>
    <t>2.6.7.1</t>
  </si>
  <si>
    <t>2.6.8.1</t>
  </si>
  <si>
    <t>2.6.8.4</t>
  </si>
  <si>
    <t>2.6.8.5</t>
  </si>
  <si>
    <t>https://www.youtube.com/watch?v=cfB9lHK5E3w</t>
  </si>
  <si>
    <t>2.6.9.1</t>
  </si>
  <si>
    <t>https://www.youtube.com/watch?v=j05_OKe5feo</t>
  </si>
  <si>
    <t>2.6.10.1</t>
  </si>
  <si>
    <t>2.6.11.1</t>
  </si>
  <si>
    <t>2.6.12.1</t>
  </si>
  <si>
    <t>3.1.1.1</t>
  </si>
  <si>
    <t>3.1.2.1</t>
  </si>
  <si>
    <t>https://www.youtube.com/watch?v=9oWeD-kx6EM</t>
  </si>
  <si>
    <t>3.1.2.2</t>
  </si>
  <si>
    <t>3.1.3.1</t>
  </si>
  <si>
    <t>3.1.4.1</t>
  </si>
  <si>
    <t>3.1.5.1</t>
  </si>
  <si>
    <t>3.1.6.1</t>
  </si>
  <si>
    <t>https://www.youtube.com/watch?v=ZsRDpCQIw00</t>
  </si>
  <si>
    <t>3.1.6.2</t>
  </si>
  <si>
    <t>3.1.7.1</t>
  </si>
  <si>
    <t>3.1.8.1</t>
  </si>
  <si>
    <t>3.1.9.1</t>
  </si>
  <si>
    <t>https://www.youtube.com/watch?v=WZ6IdDRXNzc</t>
  </si>
  <si>
    <t>3.1.10.1</t>
  </si>
  <si>
    <t>3.1.11.1</t>
  </si>
  <si>
    <t>3.2.1.1</t>
  </si>
  <si>
    <t>3.2.2.1</t>
  </si>
  <si>
    <t>31-08-202</t>
  </si>
  <si>
    <t>https://www.youtube.com/watch?v=U1CFFnO7dqs</t>
  </si>
  <si>
    <t>3.2.3.1</t>
  </si>
  <si>
    <t>3.2.4.1</t>
  </si>
  <si>
    <t>3.2.5.1</t>
  </si>
  <si>
    <t>3.2.6.1</t>
  </si>
  <si>
    <t>https://www.youtube.com/watch?v=dDVDw_cqR2U</t>
  </si>
  <si>
    <t>3.2.7.1</t>
  </si>
  <si>
    <t>3.2.8.1</t>
  </si>
  <si>
    <t>3.2.9.1</t>
  </si>
  <si>
    <t>3.2.9.4</t>
  </si>
  <si>
    <t>https://www.youtube.com/watch?v=vOmy4qHLjT0</t>
  </si>
  <si>
    <t>3.2.9.5</t>
  </si>
  <si>
    <t>3.2.10.1</t>
  </si>
  <si>
    <t>3.2.11.1</t>
  </si>
  <si>
    <t>3.3.1.1</t>
  </si>
  <si>
    <t>3.3.2.1</t>
  </si>
  <si>
    <t>3.3.3.1</t>
  </si>
  <si>
    <t>3.3.4.1</t>
  </si>
  <si>
    <t>https://www.youtube.com/watch?v=ShJvFs1yvBA</t>
  </si>
  <si>
    <t>3.3.4.2</t>
  </si>
  <si>
    <t>3.3.5.1</t>
  </si>
  <si>
    <t>3.3.6.1</t>
  </si>
  <si>
    <t>3.3.7.1</t>
  </si>
  <si>
    <t>3.3.8.1</t>
  </si>
  <si>
    <t>3.3.9.1</t>
  </si>
  <si>
    <t>https://www.youtube.com/watch?v=RejlWzQfyd8</t>
  </si>
  <si>
    <t>3.3.10.1</t>
  </si>
  <si>
    <t>3.3.11.1</t>
  </si>
  <si>
    <t>3.4.1.1</t>
  </si>
  <si>
    <t>3.4.1.2</t>
  </si>
  <si>
    <t>https://www.youtube.com/watch?v=tVH8-yDUq30</t>
  </si>
  <si>
    <t>3.4.5.1</t>
  </si>
  <si>
    <t>3.4.6.1</t>
  </si>
  <si>
    <t>3.4.7.1</t>
  </si>
  <si>
    <t>3.4.8.1</t>
  </si>
  <si>
    <t>3.4.9.1</t>
  </si>
  <si>
    <t>3.4.2.1</t>
  </si>
  <si>
    <t>3.4.3.1</t>
  </si>
  <si>
    <t>3.4.4.1</t>
  </si>
  <si>
    <t>3.4.6.2</t>
  </si>
  <si>
    <t>https://www.youtube.com/watch?v=Zj43zg9-3ug</t>
  </si>
  <si>
    <t>3.4.9.2</t>
  </si>
  <si>
    <t>3.4.9.3</t>
  </si>
  <si>
    <t>https://www.youtube.com/watch?v=EDh8TaLUDZo</t>
  </si>
  <si>
    <t>3.4.10.1</t>
  </si>
  <si>
    <t>3.4.11.1</t>
  </si>
  <si>
    <t>3.5.1.1</t>
  </si>
  <si>
    <t>https://www.youtube.com/watch?v=QvaBB09CHDI</t>
  </si>
  <si>
    <t>3.5.1.2</t>
  </si>
  <si>
    <t>3.5.2.1</t>
  </si>
  <si>
    <t>3.5.3.1</t>
  </si>
  <si>
    <t>3.5.4.1</t>
  </si>
  <si>
    <t>3.5.5.1</t>
  </si>
  <si>
    <t>https://www.youtube.com/watch?v=dSgPzo3S_94</t>
  </si>
  <si>
    <t>3.5.6.1</t>
  </si>
  <si>
    <t>3.5.7.1</t>
  </si>
  <si>
    <t>3.5.8.1</t>
  </si>
  <si>
    <t>3.5.9.1</t>
  </si>
  <si>
    <t>3.5.10.1</t>
  </si>
  <si>
    <t>3.5.11.1</t>
  </si>
  <si>
    <t>https://www.youtube.com/watch?v=ashEiCEpYPQ</t>
  </si>
  <si>
    <t>4.1.1.1</t>
  </si>
  <si>
    <t>4.1.2.1</t>
  </si>
  <si>
    <t>https://www.youtube.com/watch?v=7mi0xnXWass</t>
  </si>
  <si>
    <t>4.1.2.5</t>
  </si>
  <si>
    <t>4.1.2.4</t>
  </si>
  <si>
    <t>4.1.3.1</t>
  </si>
  <si>
    <t>4.1.4.1</t>
  </si>
  <si>
    <t>4.1.5.1</t>
  </si>
  <si>
    <t>4.1.6.1</t>
  </si>
  <si>
    <t>4.1.6.2</t>
  </si>
  <si>
    <t>4.1.6.3</t>
  </si>
  <si>
    <t>4.1.7.1</t>
  </si>
  <si>
    <t>4.1.8.1</t>
  </si>
  <si>
    <t>4.1.9.1</t>
  </si>
  <si>
    <t>https://www.youtube.com/watch?v=JGI1kCHX_y4</t>
  </si>
  <si>
    <t>4.1.10.1</t>
  </si>
  <si>
    <t>4.1.11.1</t>
  </si>
  <si>
    <t>4.2.1.1</t>
  </si>
  <si>
    <t>https://www.youtube.com/watch?v=H669N76DrwA</t>
  </si>
  <si>
    <t>https://www.youtube.com/watch?v=Qk1syQNFBkk</t>
  </si>
  <si>
    <t>4.2.1.2</t>
  </si>
  <si>
    <t>4.2.1.3</t>
  </si>
  <si>
    <t>4.2.2.1</t>
  </si>
  <si>
    <t>4.2.3.1</t>
  </si>
  <si>
    <t>4.2.4.1</t>
  </si>
  <si>
    <t>4.2.5.1</t>
  </si>
  <si>
    <t>https://www.youtube.com/watch?v=owACaHfnStk</t>
  </si>
  <si>
    <t>4.2.6.1</t>
  </si>
  <si>
    <t>4.2.7.1</t>
  </si>
  <si>
    <t>4.2.8.1</t>
  </si>
  <si>
    <t>4.2.9.1</t>
  </si>
  <si>
    <t>4.2.10.1</t>
  </si>
  <si>
    <t>4.2.11.1</t>
  </si>
  <si>
    <t>https://www.youtube.com/watch?v=iG5Ds-XUhog</t>
  </si>
  <si>
    <t>https://www.youtube.com/watch?v=4ymk1MR1PD4</t>
  </si>
  <si>
    <t>4.3.1.1</t>
  </si>
  <si>
    <t>4.3.2.1</t>
  </si>
  <si>
    <t>4.3.3.1</t>
  </si>
  <si>
    <t>4.3.4.1</t>
  </si>
  <si>
    <t>4.3.5.1</t>
  </si>
  <si>
    <t>4.3.6.1</t>
  </si>
  <si>
    <t>4.3.7.1</t>
  </si>
  <si>
    <t>https://www.youtube.com/watch?v=02xxeSIBfuA</t>
  </si>
  <si>
    <t>4.3.8.1</t>
  </si>
  <si>
    <t>4.3.9.1</t>
  </si>
  <si>
    <t>4.3.10.1</t>
  </si>
  <si>
    <t>4.3.11.1</t>
  </si>
  <si>
    <t>4.3.12.1</t>
  </si>
  <si>
    <t>4.3.12.2</t>
  </si>
  <si>
    <t>4.3.12.3</t>
  </si>
  <si>
    <t>4.3.13.1</t>
  </si>
  <si>
    <t>https://www.youtube.com/watch?v=aqIPov47OD8</t>
  </si>
  <si>
    <t>4.4.1.1</t>
  </si>
  <si>
    <t>https://www.youtube.com/watch?v=7LBPenE9P8E</t>
  </si>
  <si>
    <t>4.4.2.1</t>
  </si>
  <si>
    <t>4.4.3.1</t>
  </si>
  <si>
    <t>4.4.4.1</t>
  </si>
  <si>
    <t>https://www.youtube.com/watch?v=PT1uLnZ4mk8</t>
  </si>
  <si>
    <t>4.4.5.1</t>
  </si>
  <si>
    <t>4.4.6.1</t>
  </si>
  <si>
    <t>4.4.7.1</t>
  </si>
  <si>
    <t>4.4.8.1</t>
  </si>
  <si>
    <t>4.4.9.1</t>
  </si>
  <si>
    <t>4.4.10.1</t>
  </si>
  <si>
    <t>4.4.11.1</t>
  </si>
  <si>
    <t>4.4.12.1</t>
  </si>
  <si>
    <t>4.4.12.2</t>
  </si>
  <si>
    <t>4.5.1.1</t>
  </si>
  <si>
    <t>4.5.2.1</t>
  </si>
  <si>
    <t>4.5.3.1</t>
  </si>
  <si>
    <t>4.5.4.1</t>
  </si>
  <si>
    <t>https://www.youtube.com/watch?v=4nzwGKLpF1Y</t>
  </si>
  <si>
    <t>4.5.5.1</t>
  </si>
  <si>
    <t>4.5.6.1</t>
  </si>
  <si>
    <t>4.5.7.1</t>
  </si>
  <si>
    <t>4.5.8.1</t>
  </si>
  <si>
    <t>4.5.9.1</t>
  </si>
  <si>
    <t>4.5.10.1</t>
  </si>
  <si>
    <t>4.5.11.1</t>
  </si>
  <si>
    <t>https://www.youtube.com/watch?v=KYCrgE57cIU</t>
  </si>
  <si>
    <t>4.6.1.1</t>
  </si>
  <si>
    <t>4.6.1.3</t>
  </si>
  <si>
    <t>https://www.youtube.com/watch?v=BbbwM1nmfJU</t>
  </si>
  <si>
    <t>4.6.2.1</t>
  </si>
  <si>
    <t>4.6.3.1</t>
  </si>
  <si>
    <t>4.6.4.1</t>
  </si>
  <si>
    <t>4.6.5.1</t>
  </si>
  <si>
    <t>4.6.4.2</t>
  </si>
  <si>
    <t>https://www.youtube.com/watch?v=P3Ck9Wi-vG0</t>
  </si>
  <si>
    <t>https://www.youtube.com/watch?v=Tb-MXz3eWBw</t>
  </si>
  <si>
    <t>4.6.6.5</t>
  </si>
  <si>
    <t>4.6.6.1</t>
  </si>
  <si>
    <t>4.6.6.6</t>
  </si>
  <si>
    <t>4.6.7.1</t>
  </si>
  <si>
    <t>4.6.8.1</t>
  </si>
  <si>
    <t>4.6.9.1</t>
  </si>
  <si>
    <t>https://www.youtube.com/watch?v=NkHsSRhpFBA</t>
  </si>
  <si>
    <t>4.7.1.1</t>
  </si>
  <si>
    <t>https://www.youtube.com/watch?v=dlwcBaLxc1s</t>
  </si>
  <si>
    <t>4.7.2.1</t>
  </si>
  <si>
    <t>4.7.3.1</t>
  </si>
  <si>
    <t>4.7.4.1</t>
  </si>
  <si>
    <t>4.7.5.1</t>
  </si>
  <si>
    <t>4.7.6.1</t>
  </si>
  <si>
    <t>4.7.7.1</t>
  </si>
  <si>
    <t>4.7.8.1</t>
  </si>
  <si>
    <t>4.7.9.1</t>
  </si>
  <si>
    <t>4.7.10.1</t>
  </si>
  <si>
    <t>4.7.11.1</t>
  </si>
  <si>
    <t>4.7.12.1</t>
  </si>
  <si>
    <t>4.7.12.2</t>
  </si>
  <si>
    <t>4.7.13.1</t>
  </si>
  <si>
    <t>4.7.14.1</t>
  </si>
  <si>
    <t>4.7.15.1</t>
  </si>
  <si>
    <t>4.7.15.4</t>
  </si>
  <si>
    <t>4.7.15.5</t>
  </si>
  <si>
    <t>5.1.1.1</t>
  </si>
  <si>
    <t>5.1.1.2</t>
  </si>
  <si>
    <t>https://www.youtube.com/watch?v=En17R8e8FEM</t>
  </si>
  <si>
    <t>5.1.2.3</t>
  </si>
  <si>
    <t>1.00.20</t>
  </si>
  <si>
    <t>https://www.youtube.com/watch?v=jFtIO5TY5Sw</t>
  </si>
  <si>
    <t>5.1.2.4</t>
  </si>
  <si>
    <t>5.1.3.1</t>
  </si>
  <si>
    <t>5.1.4.1</t>
  </si>
  <si>
    <t>5.1.5.1</t>
  </si>
  <si>
    <t>5.1.5.5</t>
  </si>
  <si>
    <t>5.1.5.6</t>
  </si>
  <si>
    <t>https://www.youtube.com/watch?v=Au57cjXkglA</t>
  </si>
  <si>
    <t>5.1.6.1</t>
  </si>
  <si>
    <t>5.1.7.1</t>
  </si>
  <si>
    <t>5.1.7.2</t>
  </si>
  <si>
    <t>https://www.youtube.com/watch?v=1Pon2uK7hqo</t>
  </si>
  <si>
    <t>5.1.8.1</t>
  </si>
  <si>
    <t>5.1.9.1</t>
  </si>
  <si>
    <t>5.1.10.1</t>
  </si>
  <si>
    <t>https://www.youtube.com/watch?v=b4UIdTTT_Y0</t>
  </si>
  <si>
    <t>5.1.10.3</t>
  </si>
  <si>
    <t>5.1.10.4</t>
  </si>
  <si>
    <t>5.1.11.1</t>
  </si>
  <si>
    <t>5.2.1.1</t>
  </si>
  <si>
    <t>https://www.youtube.com/watch?v=1Dbz9_iNRjQ</t>
  </si>
  <si>
    <t>5.2.2.1</t>
  </si>
  <si>
    <t>5.2.3.1</t>
  </si>
  <si>
    <t>5.2.4.1</t>
  </si>
  <si>
    <t>5.2.4.3</t>
  </si>
  <si>
    <t>5.2.4.4</t>
  </si>
  <si>
    <t>5.2.5.1</t>
  </si>
  <si>
    <t>5.2.6.1</t>
  </si>
  <si>
    <t>5.2.7.1</t>
  </si>
  <si>
    <t>1.00.32</t>
  </si>
  <si>
    <t>5.2.7.2</t>
  </si>
  <si>
    <t>5.2.8.1</t>
  </si>
  <si>
    <t>5.2.9.1</t>
  </si>
  <si>
    <t>https://www.youtube.com/watch?v=soZ8A0NqrTQ</t>
  </si>
  <si>
    <t>https://www.youtube.com/watch?v=7EnTCwBJZi4</t>
  </si>
  <si>
    <t>5.2.10.1</t>
  </si>
  <si>
    <t>5.2.10.2</t>
  </si>
  <si>
    <t>5.2.10.3</t>
  </si>
  <si>
    <t>5.2.11.1</t>
  </si>
  <si>
    <t>5.2.12.1</t>
  </si>
  <si>
    <t>5.3.1.1</t>
  </si>
  <si>
    <t>https://www.youtube.com/watch?v=q5X6x1Q6seQ</t>
  </si>
  <si>
    <t>5.3.2.1</t>
  </si>
  <si>
    <t>5.3.2.2</t>
  </si>
  <si>
    <t>5.3.3.1</t>
  </si>
  <si>
    <t>5.3.4.1</t>
  </si>
  <si>
    <t>5.3.5.1</t>
  </si>
  <si>
    <t>https://www.youtube.com/watch?v=UF65aY_augo</t>
  </si>
  <si>
    <t>5.3.5.2</t>
  </si>
  <si>
    <t>5.3.6.1</t>
  </si>
  <si>
    <t>5.3.7.1</t>
  </si>
  <si>
    <t>5.3.8.1</t>
  </si>
  <si>
    <t>https://www.youtube.com/watch?v=1qvxuhCyam0</t>
  </si>
  <si>
    <t>5.3.9.1</t>
  </si>
  <si>
    <t>5.3.10.1</t>
  </si>
  <si>
    <t>5.3.11.1</t>
  </si>
  <si>
    <t>5.3.12.1</t>
  </si>
  <si>
    <t>https://www.youtube.com/watch?v=8OnQAAEH5jk</t>
  </si>
  <si>
    <t>5.4.1.1</t>
  </si>
  <si>
    <t>5.4.2.1</t>
  </si>
  <si>
    <t>5.4.3.1</t>
  </si>
  <si>
    <t>5.4.4.1</t>
  </si>
  <si>
    <t>5.4.5.1</t>
  </si>
  <si>
    <t>5.4.6.1</t>
  </si>
  <si>
    <t>https://www.youtube.com/watch?v=Km_f4mE1S4g</t>
  </si>
  <si>
    <t>5.4.6.2</t>
  </si>
  <si>
    <t>5.4.6.3</t>
  </si>
  <si>
    <t>5.4.7.1</t>
  </si>
  <si>
    <t>5.4.8.1</t>
  </si>
  <si>
    <t>5.4.9.1</t>
  </si>
  <si>
    <t>https://www.youtube.com/watch?v=E6Tivz6MEmY</t>
  </si>
  <si>
    <t>https://www.youtube.com/watch?v=RydQN59j44c</t>
  </si>
  <si>
    <t>5.4.9.2</t>
  </si>
  <si>
    <t>5.4.10.1</t>
  </si>
  <si>
    <t>5.4.11.1</t>
  </si>
  <si>
    <t>5.4.12.1</t>
  </si>
  <si>
    <t>5.5.1.1</t>
  </si>
  <si>
    <t>5.5.2.1</t>
  </si>
  <si>
    <t>5.5.3.1</t>
  </si>
  <si>
    <t>5.5.4.1</t>
  </si>
  <si>
    <t>https://www.youtube.com/watch?v=-zWlmfF_IsE</t>
  </si>
  <si>
    <t>5.5.4.2</t>
  </si>
  <si>
    <t>1.00.43</t>
  </si>
  <si>
    <t>5.5.5.1</t>
  </si>
  <si>
    <t>5.5.6.1</t>
  </si>
  <si>
    <t>5.5.7.1</t>
  </si>
  <si>
    <t>5.5.8.1</t>
  </si>
  <si>
    <t>https://www.youtube.com/watch?v=-iKJWs4AHWU</t>
  </si>
  <si>
    <t>5.5.9.1</t>
  </si>
  <si>
    <t>5.5.10.1</t>
  </si>
  <si>
    <t>5.5.11.1</t>
  </si>
  <si>
    <t>5.5.12.1</t>
  </si>
  <si>
    <t>5.5.13.1</t>
  </si>
  <si>
    <t>5.5.14.1</t>
  </si>
  <si>
    <t>5.5.15.1</t>
  </si>
  <si>
    <t>H2</t>
  </si>
  <si>
    <t>5.5.16.1</t>
  </si>
  <si>
    <t>5.5.17.1</t>
  </si>
  <si>
    <t>5.5.18.1</t>
  </si>
  <si>
    <t>5.5.19.1</t>
  </si>
  <si>
    <t>5.5.20.1</t>
  </si>
  <si>
    <t>5.5.21.1</t>
  </si>
  <si>
    <t>5.5.22.1</t>
  </si>
  <si>
    <t>5.5.23.1</t>
  </si>
  <si>
    <t>5.5.24.1</t>
  </si>
  <si>
    <t>https://www.youtube.com/watch?v=bUMIAvgMFwM</t>
  </si>
  <si>
    <t>https://www.youtube.com/watch?v=ZGPMrt6n_gQ</t>
  </si>
  <si>
    <t>5.6.1.1</t>
  </si>
  <si>
    <t>5.6.2.1</t>
  </si>
  <si>
    <t>5.6.3.1</t>
  </si>
  <si>
    <t>5.6.4.1</t>
  </si>
  <si>
    <t>5.6.4.2</t>
  </si>
  <si>
    <t>5.6.5.1</t>
  </si>
  <si>
    <t>5.6.6.1</t>
  </si>
  <si>
    <t>5.6.7.1</t>
  </si>
  <si>
    <t>5.6.8.1</t>
  </si>
  <si>
    <t>1.01.36</t>
  </si>
  <si>
    <t>https://www.youtube.com/watch?v=qCDb2EXiYGc</t>
  </si>
  <si>
    <t>1.00.35</t>
  </si>
  <si>
    <t>5.6.8.2</t>
  </si>
  <si>
    <t>5.6.9.1</t>
  </si>
  <si>
    <t>5.6.10.1</t>
  </si>
  <si>
    <t>5.6.11.1</t>
  </si>
  <si>
    <t>5.6.12.1</t>
  </si>
  <si>
    <t>https://www.youtube.com/watch?v=1U2LD_xdS2c</t>
  </si>
  <si>
    <t>5.6.13.1</t>
  </si>
  <si>
    <t>5.6.14.1</t>
  </si>
  <si>
    <t>5.6.15.1</t>
  </si>
  <si>
    <t>5.6.16.1</t>
  </si>
  <si>
    <t>5.6.17.1</t>
  </si>
  <si>
    <t>5.6.18.1</t>
  </si>
  <si>
    <t>5.6.19.1</t>
  </si>
  <si>
    <t>5.6.20.1</t>
  </si>
  <si>
    <t>5.6.21.1</t>
  </si>
  <si>
    <t>5.6.22.1</t>
  </si>
  <si>
    <t>5.6.23.1</t>
  </si>
  <si>
    <t>5.7.1.1</t>
  </si>
  <si>
    <t>5.7.2.1</t>
  </si>
  <si>
    <t>5.7.3.1</t>
  </si>
  <si>
    <t>5.7.4.1</t>
  </si>
  <si>
    <t>1.01.21</t>
  </si>
  <si>
    <t>https://www.youtube.com/watch?v=TO2PL6VXzB8</t>
  </si>
  <si>
    <t>1.00.21</t>
  </si>
  <si>
    <t>5.7.4.2</t>
  </si>
  <si>
    <t>5.7.4.3</t>
  </si>
  <si>
    <t>5.7.5.1</t>
  </si>
  <si>
    <t>5.7.61</t>
  </si>
  <si>
    <t>5.7.7.1</t>
  </si>
  <si>
    <t>5.7.8.1</t>
  </si>
  <si>
    <t>https://www.youtube.com/watch?v=6oV4tR-bOu8</t>
  </si>
  <si>
    <t>5.7.9.1</t>
  </si>
  <si>
    <t>5.7.10.1</t>
  </si>
  <si>
    <t>5.7.11.1</t>
  </si>
  <si>
    <t>5.7.12.1</t>
  </si>
  <si>
    <t>5.7.13.1</t>
  </si>
  <si>
    <t>5.7.14.1</t>
  </si>
  <si>
    <t>5.7.15.1</t>
  </si>
  <si>
    <t>5.7.16.1</t>
  </si>
  <si>
    <t>5.7.17.1</t>
  </si>
  <si>
    <t>5.7.18.1</t>
  </si>
  <si>
    <t>5.7.19.1</t>
  </si>
  <si>
    <t>5.7.20.1</t>
  </si>
  <si>
    <t>5.7.21.1</t>
  </si>
  <si>
    <t>5.7.22.1</t>
  </si>
  <si>
    <t>5.7.23.1</t>
  </si>
  <si>
    <t>5.7.24.1</t>
  </si>
  <si>
    <t>5.7.25.1</t>
  </si>
  <si>
    <t>5.7.26.1</t>
  </si>
  <si>
    <t>https://www.youtube.com/watch?v=nJJEA5vCDh0</t>
  </si>
  <si>
    <t>6.1.1.1</t>
  </si>
  <si>
    <t>6.1.2.1</t>
  </si>
  <si>
    <t>https://www.youtube.com/watch?v=iIs3nEGIVz4</t>
  </si>
  <si>
    <t>6.1.3.1</t>
  </si>
  <si>
    <t>6.1.3.2</t>
  </si>
  <si>
    <t>6.1.4.1</t>
  </si>
  <si>
    <t>6.1.5.1</t>
  </si>
  <si>
    <t>https://www.youtube.com/watch?v=Lxar3bTRTH4</t>
  </si>
  <si>
    <t>6.1.4.8</t>
  </si>
  <si>
    <t>6.1.4.7</t>
  </si>
  <si>
    <t>6.1.6.1</t>
  </si>
  <si>
    <t>https://www.youtube.com/watch?v=0IvG-_9x5f4</t>
  </si>
  <si>
    <t>6.1.7.1</t>
  </si>
  <si>
    <t>6.1.7.4</t>
  </si>
  <si>
    <t>6.1.7.5</t>
  </si>
  <si>
    <t>6.1.8.1</t>
  </si>
  <si>
    <t>6.1.9.1</t>
  </si>
  <si>
    <t>1.2.14.1</t>
  </si>
  <si>
    <t>https://www.youtube.com/watch?v=z42CRhyYkaE</t>
  </si>
  <si>
    <t>6.1.10.1</t>
  </si>
  <si>
    <t>6.1.11.1</t>
  </si>
  <si>
    <t>6.2.1.1</t>
  </si>
  <si>
    <t>1.00.11</t>
  </si>
  <si>
    <t>https://www.youtube.com/watch?v=mcXc1D39dNE</t>
  </si>
  <si>
    <t>https://www.youtube.com/watch?v=tu60APogjD0</t>
  </si>
  <si>
    <t>6.2.2.1</t>
  </si>
  <si>
    <t>6.2.3.1</t>
  </si>
  <si>
    <t>6.2.4.1</t>
  </si>
  <si>
    <t>6.2.4.4</t>
  </si>
  <si>
    <t>6.2.4.5</t>
  </si>
  <si>
    <t>6.2.5.1</t>
  </si>
  <si>
    <t>6.2.6.1</t>
  </si>
  <si>
    <t>https://www.youtube.com/watch?v=nL_68vtrFZY</t>
  </si>
  <si>
    <t>6.2.7.1</t>
  </si>
  <si>
    <t>6.2.8.1</t>
  </si>
  <si>
    <t>6.2.8.4</t>
  </si>
  <si>
    <t>6.2.8.3</t>
  </si>
  <si>
    <t>H2/Archive</t>
  </si>
  <si>
    <t>6.2.9.1</t>
  </si>
  <si>
    <t>6.2.10.1</t>
  </si>
  <si>
    <t>6.2.11.1</t>
  </si>
  <si>
    <t>https://www.youtube.com/watch?v=PZ4gtPrQXAE</t>
  </si>
  <si>
    <t>6.2.10.5</t>
  </si>
  <si>
    <t>6.2.10.6</t>
  </si>
  <si>
    <t>6.3.1.1</t>
  </si>
  <si>
    <t>6.3.2.1</t>
  </si>
  <si>
    <t>https://www.youtube.com/watch?v=bbQm9RvFTYw</t>
  </si>
  <si>
    <t>1.00.06</t>
  </si>
  <si>
    <t>6.3.2.4</t>
  </si>
  <si>
    <t>6.3.2.5</t>
  </si>
  <si>
    <t>6.3.3.1</t>
  </si>
  <si>
    <t>6.3.4.1</t>
  </si>
  <si>
    <t>6.3.4.8</t>
  </si>
  <si>
    <t>https://www.youtube.com/watch?v=-HSnXsFVpkk</t>
  </si>
  <si>
    <t>6.3.4.9</t>
  </si>
  <si>
    <t>6.3.5.1</t>
  </si>
  <si>
    <t>6.3.6.1</t>
  </si>
  <si>
    <t>6.3.7.1</t>
  </si>
  <si>
    <t>https://www.youtube.com/watch?v=qpiYD5UnFa4</t>
  </si>
  <si>
    <t>6.3.8.1</t>
  </si>
  <si>
    <t>6.3.8.3</t>
  </si>
  <si>
    <t>6.3.9.1</t>
  </si>
  <si>
    <t>6.3.10.1</t>
  </si>
  <si>
    <t>6.3.11.1</t>
  </si>
  <si>
    <t>6.3.12.1</t>
  </si>
  <si>
    <t>1.07.30</t>
  </si>
  <si>
    <t>https://www.youtube.com/watch?v=rnypIDwKaHU</t>
  </si>
  <si>
    <t>1.06.26</t>
  </si>
  <si>
    <t>6.4.1.1</t>
  </si>
  <si>
    <t>6.4.2.1</t>
  </si>
  <si>
    <t>6.4.3.1</t>
  </si>
  <si>
    <t>https://www.youtube.com/watch?v=rmg81CDC2z0</t>
  </si>
  <si>
    <t>6.4.4.1</t>
  </si>
  <si>
    <t>6.4.4.2</t>
  </si>
  <si>
    <t>https://www.youtube.com/watch?v=UdhCkIUzXLA</t>
  </si>
  <si>
    <t>6.4.51</t>
  </si>
  <si>
    <t>6.4.6.1</t>
  </si>
  <si>
    <t>6.4.7.1</t>
  </si>
  <si>
    <t>6.4.8.1</t>
  </si>
  <si>
    <t>6.4.9.1</t>
  </si>
  <si>
    <t>6.4.10.1</t>
  </si>
  <si>
    <t>https://www.youtube.com/watch?v=vVRTcBM6bW0</t>
  </si>
  <si>
    <t>https://www.youtube.com/watch?v=xrIQX69Ua9U</t>
  </si>
  <si>
    <t>6.4.10.5</t>
  </si>
  <si>
    <t>6.4.10.6</t>
  </si>
  <si>
    <t>6.4.11.1</t>
  </si>
  <si>
    <t>6.5.1.1</t>
  </si>
  <si>
    <t>6.5.2.1</t>
  </si>
  <si>
    <t>6.5.3.1</t>
  </si>
  <si>
    <t>6.5.4.1</t>
  </si>
  <si>
    <t>6.5.5.1</t>
  </si>
  <si>
    <t>6.5.6.1</t>
  </si>
  <si>
    <t>6.5.7.1</t>
  </si>
  <si>
    <t>6.5.8.1</t>
  </si>
  <si>
    <t>6.5.9.1</t>
  </si>
  <si>
    <t>6.5.10.1</t>
  </si>
  <si>
    <t>6.5.11.1</t>
  </si>
  <si>
    <t>https://www.youtube.com/watch?v=POsXjM1rGoI</t>
  </si>
  <si>
    <t>https://www.youtube.com/watch?v=XVQPw4eshBE</t>
  </si>
  <si>
    <t>6.5.11.2</t>
  </si>
  <si>
    <t>6.5.11.3</t>
  </si>
  <si>
    <t>6.6.1.1</t>
  </si>
  <si>
    <t>6.6.2.1</t>
  </si>
  <si>
    <t>6.6.3.1</t>
  </si>
  <si>
    <t>6.6.4.1</t>
  </si>
  <si>
    <t>https://www.youtube.com/watch?v=6Dtk41heBVU</t>
  </si>
  <si>
    <t>H1/H2</t>
  </si>
  <si>
    <t>1.5.8.3</t>
  </si>
  <si>
    <t>https://www.youtube.com/watch?v=PF9qu0Z-Rog</t>
  </si>
  <si>
    <t>1.04.38</t>
  </si>
  <si>
    <t>6.6.5.1</t>
  </si>
  <si>
    <t>6.6.6.1</t>
  </si>
  <si>
    <t>6.6.7.1</t>
  </si>
  <si>
    <t>6.6.8.1</t>
  </si>
  <si>
    <t>6.6.9.1</t>
  </si>
  <si>
    <t>https://www.youtube.com/watch?v=x6cvrslUzr0</t>
  </si>
  <si>
    <t>6.6.10.1</t>
  </si>
  <si>
    <t>6.6.11.1</t>
  </si>
  <si>
    <t>1.03.32</t>
  </si>
  <si>
    <t>7.1.1.1</t>
  </si>
  <si>
    <t>7.1.2.1</t>
  </si>
  <si>
    <t>7.1.3.1</t>
  </si>
  <si>
    <t>7.1.4.1</t>
  </si>
  <si>
    <t>H1</t>
  </si>
  <si>
    <t>1.6.9.1/H1</t>
  </si>
  <si>
    <t>7.1.5.1</t>
  </si>
  <si>
    <t>7.1.5.2</t>
  </si>
  <si>
    <t>https://www.youtube.com/watch?v=uGsJiqU8MYg</t>
  </si>
  <si>
    <t>7.1.6.1</t>
  </si>
  <si>
    <t>7.1.7.1</t>
  </si>
  <si>
    <t>7.1.8.1</t>
  </si>
  <si>
    <t>7.1.9.1</t>
  </si>
  <si>
    <t>7.1.10.1</t>
  </si>
  <si>
    <t>7.1.11.1</t>
  </si>
  <si>
    <t>7.1.12.1</t>
  </si>
  <si>
    <t>https://www.youtube.com/watch?v=ZtXpcOlSRoc</t>
  </si>
  <si>
    <t>https://www.youtube.com/watch?v=nQR3G6lPxKo</t>
  </si>
  <si>
    <t>7.1.13.1</t>
  </si>
  <si>
    <t>7.1.14.1</t>
  </si>
  <si>
    <t>7.1.15.1</t>
  </si>
  <si>
    <t>7.1.16.1</t>
  </si>
  <si>
    <t>7.1.17.1</t>
  </si>
  <si>
    <t>7.1.18.1</t>
  </si>
  <si>
    <t>7.1.19.1</t>
  </si>
  <si>
    <t>7.1.20.1</t>
  </si>
  <si>
    <t>https://www.youtube.com/watch?v=wjQRLFXA0Kk</t>
  </si>
  <si>
    <t>https://www.youtube.com/watch?v=7btHg8WV4FU</t>
  </si>
  <si>
    <t>7.2.1.1</t>
  </si>
  <si>
    <t>7.2.2.1</t>
  </si>
  <si>
    <t>7.2.3.1</t>
  </si>
  <si>
    <t>7.2.4.1</t>
  </si>
  <si>
    <t>7.2.5.1</t>
  </si>
  <si>
    <t>7.2.6.1</t>
  </si>
  <si>
    <t>7.2.7.1</t>
  </si>
  <si>
    <t>7.2.9.1</t>
  </si>
  <si>
    <t>7.2.10.1</t>
  </si>
  <si>
    <t>https://www.youtube.com/watch?v=X7zf06xcLWw</t>
  </si>
  <si>
    <t>https://www.youtube.com/watch?v=RB9Dlb_ryp8</t>
  </si>
  <si>
    <t>7.2.7.3</t>
  </si>
  <si>
    <t>7.2.8.1</t>
  </si>
  <si>
    <t>7.2.7.2</t>
  </si>
  <si>
    <t>7.2.9.2</t>
  </si>
  <si>
    <t>7.2.9.3</t>
  </si>
  <si>
    <t>7.2.11.1</t>
  </si>
  <si>
    <t>7.2.12.1</t>
  </si>
  <si>
    <t>7.2.13.1</t>
  </si>
  <si>
    <t>7.2.14.1</t>
  </si>
  <si>
    <t>7.2.15.1</t>
  </si>
  <si>
    <t>https://www.youtube.com/watch?v=-jIZuc4ooDc</t>
  </si>
  <si>
    <t>7.2.16.1</t>
  </si>
  <si>
    <t>7.2.17.1</t>
  </si>
  <si>
    <t>7.2.18.1</t>
  </si>
  <si>
    <t>7.2.19.1</t>
  </si>
  <si>
    <t>7.2.20.1</t>
  </si>
  <si>
    <t>7.3.1.1</t>
  </si>
  <si>
    <t>7.3.1.2</t>
  </si>
  <si>
    <t>7.3.2.1</t>
  </si>
  <si>
    <t>7.3.3.1</t>
  </si>
  <si>
    <t>7.3.4.1</t>
  </si>
  <si>
    <t>7.3.5.1</t>
  </si>
  <si>
    <t>https://www.youtube.com/watch?v=fWVHDASHQEc</t>
  </si>
  <si>
    <t>7.3.6.1</t>
  </si>
  <si>
    <t>7.3.7.1</t>
  </si>
  <si>
    <t>7.3.8.1</t>
  </si>
  <si>
    <t>7.3.9.1</t>
  </si>
  <si>
    <t>7.3.10.1</t>
  </si>
  <si>
    <t>7.3.11.1</t>
  </si>
  <si>
    <t>https://www.youtube.com/watch?v=SuG4jjAl1KQ</t>
  </si>
  <si>
    <t>7.3.10.3</t>
  </si>
  <si>
    <t>7.3.10.2</t>
  </si>
  <si>
    <t>7.3.12.1</t>
  </si>
  <si>
    <t>7.3.13.1</t>
  </si>
  <si>
    <t>https://www.youtube.com/watch?v=z--7cLE1FPs</t>
  </si>
  <si>
    <t>7.3.14.1</t>
  </si>
  <si>
    <t>7.3.15.1</t>
  </si>
  <si>
    <t>7.3.16.1</t>
  </si>
  <si>
    <t>7.3.17.1</t>
  </si>
  <si>
    <t>7.3.18.1</t>
  </si>
  <si>
    <t>7.3.19.1</t>
  </si>
  <si>
    <t>7.3.20.1</t>
  </si>
  <si>
    <t>7.4.1.1</t>
  </si>
  <si>
    <t>H1/Archive</t>
  </si>
  <si>
    <t>https://www.youtube.com/watch?v=iO0ystneX1c</t>
  </si>
  <si>
    <t>7.4.1.2</t>
  </si>
  <si>
    <t>https://www.youtube.com/watch?v=cXbLzMhnjVs</t>
  </si>
  <si>
    <t>7.4.3.3</t>
  </si>
  <si>
    <t>7.4.2.1</t>
  </si>
  <si>
    <t>7.4.3.1</t>
  </si>
  <si>
    <t>7.4.4.1</t>
  </si>
  <si>
    <t>7.4.4.2</t>
  </si>
  <si>
    <t>27-112020</t>
  </si>
  <si>
    <t>7.4.4.3</t>
  </si>
  <si>
    <t>7.4.5.1</t>
  </si>
  <si>
    <t>7.4.6.1</t>
  </si>
  <si>
    <t>7.4.7.1</t>
  </si>
  <si>
    <t>https://www.youtube.com/watch?v=74QSIbVxjO0</t>
  </si>
  <si>
    <t>https://www.youtube.com/watch?v=5kvZxMVTygg</t>
  </si>
  <si>
    <t>https://www.youtube.com/watch?v=pPrOy-_opMw</t>
  </si>
  <si>
    <t>7.4.7.2</t>
  </si>
  <si>
    <t>7.4.7.3</t>
  </si>
  <si>
    <t>7.4.8.1</t>
  </si>
  <si>
    <t>7.4.9.1</t>
  </si>
  <si>
    <t>7.4.10.1</t>
  </si>
  <si>
    <t>7.4.11.1</t>
  </si>
  <si>
    <t>7.4.12.1</t>
  </si>
  <si>
    <t>29-11--2020</t>
  </si>
  <si>
    <t>7.4.13.1</t>
  </si>
  <si>
    <t>7.4.14.1</t>
  </si>
  <si>
    <t>7.4.15.1</t>
  </si>
  <si>
    <t>7.4.16.1</t>
  </si>
  <si>
    <t>7.4.17.1</t>
  </si>
  <si>
    <t>7.4.18.1</t>
  </si>
  <si>
    <t>7.4.19.1</t>
  </si>
  <si>
    <t>7.4.20.1</t>
  </si>
  <si>
    <t>7.4.21.1</t>
  </si>
  <si>
    <t>7.4.22.1</t>
  </si>
  <si>
    <t>https://www.youtube.com/watch?v=p5C87P4I7Ss</t>
  </si>
  <si>
    <t>7.5.1.1</t>
  </si>
  <si>
    <t>7.5.2.1</t>
  </si>
  <si>
    <t>7.5.3.1</t>
  </si>
  <si>
    <t>7.5.4.1</t>
  </si>
  <si>
    <t>https://www.youtube.com/watch?v=XDsSY3-jiJo</t>
  </si>
  <si>
    <t>7.5.5.1</t>
  </si>
  <si>
    <t>7.5.6.1</t>
  </si>
  <si>
    <t>7.5.7.1</t>
  </si>
  <si>
    <t>7.5.7.3</t>
  </si>
  <si>
    <t>7.5.8.1</t>
  </si>
  <si>
    <t>https://www.youtube.com/watch?v=lWISxXV9GEQ</t>
  </si>
  <si>
    <t>7.5.9.1</t>
  </si>
  <si>
    <t>7.5.10.1</t>
  </si>
  <si>
    <t>7.5.11.1</t>
  </si>
  <si>
    <t>7.5.12.1</t>
  </si>
  <si>
    <t>7.5.13.1</t>
  </si>
  <si>
    <t>https://www.youtube.com/watch?v=GDVmaTIF1M8</t>
  </si>
  <si>
    <t>https://www.youtube.com/watch?v=BtxhyKKSSe8</t>
  </si>
  <si>
    <t>7.5.14.1</t>
  </si>
  <si>
    <t>7.5.15.1</t>
  </si>
  <si>
    <t>7.5.16.1</t>
  </si>
  <si>
    <t>7.5.17.1</t>
  </si>
  <si>
    <t>7.5.18.1</t>
  </si>
  <si>
    <t>7.5.19.1</t>
  </si>
  <si>
    <t>7.5.20.1</t>
  </si>
  <si>
    <t>7.5.21.1</t>
  </si>
  <si>
    <t>7.5.22.1</t>
  </si>
  <si>
    <t>7.5.23.1</t>
  </si>
  <si>
    <t>7.5.24.1</t>
  </si>
  <si>
    <t>7.5.25.1</t>
  </si>
  <si>
    <t>https://www.youtube.com/watch?v=doE4wuv5XYM</t>
  </si>
  <si>
    <t>https://www.youtube.com/watch?v=W2OONc0UtAg</t>
  </si>
  <si>
    <t>1.01.08</t>
  </si>
  <si>
    <t xml:space="preserve">Skip </t>
  </si>
  <si>
    <t>https://www.youtube.com/watch?v=0FoeP-UG0Wc</t>
  </si>
  <si>
    <t>https://www.youtube.com/watch?v=aRCQcy8o-xA</t>
  </si>
  <si>
    <t>Archieve.org =52.08</t>
  </si>
  <si>
    <t>https://www.youtube.com/watch?v=WtFOAPAOdjg</t>
  </si>
  <si>
    <t>https://www.youtube.com/watch?v=TtkFmQy91YY</t>
  </si>
  <si>
    <t>https://www.youtube.com/watch?v=CcCr52yaBxY</t>
  </si>
  <si>
    <t>https://www.youtube.com/watch?v=4CipAIdR0nU</t>
  </si>
  <si>
    <t>https://www.youtube.com/watch?v=LT9kGdY_iUo</t>
  </si>
  <si>
    <t>https://www.youtube.com/watch?v=hPGh9CKobF8</t>
  </si>
  <si>
    <t>https://www.youtube.com/watch?v=LuXq5_W4nfw</t>
  </si>
  <si>
    <t>https://www.youtube.com/watch?v=-4tnrZNPY58</t>
  </si>
  <si>
    <t>https://www.youtube.com/watch?v=Sc37wXohjcA</t>
  </si>
  <si>
    <t>https://www.youtube.com/watch?v=0f6d52ip9Ug</t>
  </si>
  <si>
    <t>https://www.youtube.com/watch?v=UVVuZUv2OTE</t>
  </si>
  <si>
    <t>https://www.youtube.com/watch?v=o71Tr1zdJA8</t>
  </si>
  <si>
    <t>https://www.youtube.com/watch?v=ghDems5CmHo</t>
  </si>
  <si>
    <t>https://www.youtube.com/watch?v=muDPB_WlRUY</t>
  </si>
  <si>
    <t>https://www.youtube.com/watch?v=MBWldLzIEq4</t>
  </si>
  <si>
    <t>https://www.youtube.com/watch?v=hXiQbjWFzLM</t>
  </si>
  <si>
    <t>https://www.youtube.com/watch?v=6H33Rf5PGE8</t>
  </si>
  <si>
    <t>https://www.youtube.com/watch?v=e2nHk8rAanY</t>
  </si>
  <si>
    <t>https://www.youtube.com/watch?v=vahJu-fNCds</t>
  </si>
  <si>
    <t>https://www.youtube.com/watch?v=-gsoch55Jfw</t>
  </si>
  <si>
    <t>https://www.youtube.com/watch?v=BXod63nkYIQ</t>
  </si>
  <si>
    <t>https://www.youtube.com/watch?v=2aerAxZ9ZeE</t>
  </si>
  <si>
    <t>https://www.youtube.com/watch?v=Dvb7hq_Z4ng</t>
  </si>
  <si>
    <t>dated</t>
  </si>
  <si>
    <t>Chart prepared by - vedavms team</t>
  </si>
  <si>
    <t>6th Dec 2020</t>
  </si>
  <si>
    <t>JATA PARAYANAM ENDS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</si>
</sst>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0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</font>
    <font>
      <u/>
      <sz val="11"/>
      <color rgb="FF0000FF"/>
      <name val="Calibri"/>
      <family val="2"/>
    </font>
    <font>
      <sz val="12"/>
      <color rgb="FFFF0000"/>
      <name val="Calibri"/>
      <family val="2"/>
      <scheme val="minor"/>
    </font>
    <font>
      <b/>
      <i/>
      <sz val="14"/>
      <color theme="4"/>
      <name val="Cambria"/>
      <family val="2"/>
      <scheme val="maj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54" fillId="0" borderId="0" applyNumberFormat="0" applyFill="0" applyBorder="0" applyAlignment="0" applyProtection="0"/>
  </cellStyleXfs>
  <cellXfs count="558">
    <xf numFmtId="0" fontId="0" fillId="0" borderId="0" xfId="0"/>
    <xf numFmtId="0" fontId="0" fillId="0" borderId="0" xfId="0" applyAlignment="1">
      <alignment horizontal="center"/>
    </xf>
    <xf numFmtId="0" fontId="15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52" fillId="2" borderId="0" xfId="0" applyFont="1" applyFill="1" applyAlignment="1">
      <alignment horizontal="center"/>
    </xf>
    <xf numFmtId="2" fontId="152" fillId="2" borderId="0" xfId="0" applyNumberFormat="1" applyFont="1" applyFill="1" applyAlignment="1">
      <alignment horizontal="center"/>
    </xf>
    <xf numFmtId="0" fontId="151" fillId="0" borderId="2" xfId="0" applyFont="1" applyBorder="1" applyAlignment="1">
      <alignment horizontal="center"/>
    </xf>
    <xf numFmtId="0" fontId="151" fillId="0" borderId="3" xfId="0" applyFont="1" applyBorder="1" applyAlignment="1">
      <alignment horizontal="center"/>
    </xf>
    <xf numFmtId="0" fontId="14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8" fillId="0" borderId="3" xfId="0" applyFont="1" applyBorder="1" applyAlignment="1">
      <alignment horizontal="center"/>
    </xf>
    <xf numFmtId="0" fontId="116" fillId="0" borderId="3" xfId="0" applyFont="1" applyBorder="1" applyAlignment="1">
      <alignment horizontal="center"/>
    </xf>
    <xf numFmtId="0" fontId="106" fillId="0" borderId="3" xfId="0" applyFont="1" applyBorder="1" applyAlignment="1">
      <alignment horizontal="center"/>
    </xf>
    <xf numFmtId="0" fontId="102" fillId="0" borderId="3" xfId="0" applyFont="1" applyBorder="1" applyAlignment="1">
      <alignment horizontal="center"/>
    </xf>
    <xf numFmtId="0" fontId="85" fillId="0" borderId="3" xfId="0" applyFont="1" applyBorder="1" applyAlignment="1">
      <alignment horizontal="center"/>
    </xf>
    <xf numFmtId="0" fontId="57" fillId="0" borderId="3" xfId="0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5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1" fillId="0" borderId="4" xfId="0" applyFont="1" applyBorder="1" applyAlignment="1">
      <alignment horizontal="center"/>
    </xf>
    <xf numFmtId="0" fontId="152" fillId="2" borderId="2" xfId="0" applyFont="1" applyFill="1" applyBorder="1" applyAlignment="1">
      <alignment horizontal="center"/>
    </xf>
    <xf numFmtId="0" fontId="152" fillId="2" borderId="3" xfId="0" applyFont="1" applyFill="1" applyBorder="1" applyAlignment="1">
      <alignment horizontal="center"/>
    </xf>
    <xf numFmtId="0" fontId="151" fillId="2" borderId="3" xfId="0" applyFont="1" applyFill="1" applyBorder="1" applyAlignment="1">
      <alignment horizontal="center"/>
    </xf>
    <xf numFmtId="0" fontId="151" fillId="0" borderId="1" xfId="0" applyFont="1" applyBorder="1" applyAlignment="1">
      <alignment horizontal="center"/>
    </xf>
    <xf numFmtId="14" fontId="151" fillId="0" borderId="3" xfId="0" applyNumberFormat="1" applyFont="1" applyBorder="1" applyAlignment="1">
      <alignment horizontal="center"/>
    </xf>
    <xf numFmtId="0" fontId="150" fillId="0" borderId="3" xfId="0" applyFont="1" applyBorder="1" applyAlignment="1">
      <alignment horizontal="center"/>
    </xf>
    <xf numFmtId="0" fontId="149" fillId="0" borderId="3" xfId="0" applyFont="1" applyBorder="1" applyAlignment="1">
      <alignment horizontal="center"/>
    </xf>
    <xf numFmtId="0" fontId="0" fillId="0" borderId="3" xfId="0" applyBorder="1"/>
    <xf numFmtId="14" fontId="151" fillId="0" borderId="3" xfId="0" applyNumberFormat="1" applyFont="1" applyBorder="1"/>
    <xf numFmtId="0" fontId="144" fillId="0" borderId="3" xfId="0" applyFont="1" applyBorder="1"/>
    <xf numFmtId="14" fontId="144" fillId="0" borderId="3" xfId="0" applyNumberFormat="1" applyFont="1" applyBorder="1"/>
    <xf numFmtId="14" fontId="133" fillId="0" borderId="3" xfId="0" applyNumberFormat="1" applyFont="1" applyBorder="1"/>
    <xf numFmtId="14" fontId="128" fillId="0" borderId="3" xfId="0" applyNumberFormat="1" applyFont="1" applyBorder="1"/>
    <xf numFmtId="0" fontId="128" fillId="0" borderId="3" xfId="0" applyFont="1" applyBorder="1"/>
    <xf numFmtId="14" fontId="116" fillId="0" borderId="3" xfId="0" applyNumberFormat="1" applyFont="1" applyBorder="1"/>
    <xf numFmtId="0" fontId="116" fillId="0" borderId="3" xfId="0" applyFont="1" applyBorder="1"/>
    <xf numFmtId="0" fontId="113" fillId="0" borderId="3" xfId="0" applyFont="1" applyBorder="1"/>
    <xf numFmtId="0" fontId="106" fillId="0" borderId="3" xfId="0" applyFont="1" applyBorder="1"/>
    <xf numFmtId="14" fontId="106" fillId="0" borderId="3" xfId="0" applyNumberFormat="1" applyFont="1" applyBorder="1"/>
    <xf numFmtId="0" fontId="102" fillId="0" borderId="3" xfId="0" applyFont="1" applyBorder="1"/>
    <xf numFmtId="14" fontId="102" fillId="0" borderId="3" xfId="0" applyNumberFormat="1" applyFont="1" applyBorder="1"/>
    <xf numFmtId="0" fontId="85" fillId="0" borderId="3" xfId="0" applyFont="1" applyBorder="1"/>
    <xf numFmtId="14" fontId="85" fillId="0" borderId="3" xfId="0" applyNumberFormat="1" applyFont="1" applyBorder="1"/>
    <xf numFmtId="14" fontId="57" fillId="0" borderId="3" xfId="0" applyNumberFormat="1" applyFont="1" applyBorder="1"/>
    <xf numFmtId="0" fontId="57" fillId="0" borderId="3" xfId="0" applyFont="1" applyBorder="1"/>
    <xf numFmtId="0" fontId="37" fillId="0" borderId="3" xfId="0" applyFont="1" applyBorder="1"/>
    <xf numFmtId="14" fontId="37" fillId="0" borderId="3" xfId="0" applyNumberFormat="1" applyFont="1" applyBorder="1"/>
    <xf numFmtId="14" fontId="35" fillId="0" borderId="3" xfId="0" applyNumberFormat="1" applyFont="1" applyBorder="1"/>
    <xf numFmtId="0" fontId="35" fillId="0" borderId="3" xfId="0" applyFont="1" applyBorder="1"/>
    <xf numFmtId="14" fontId="29" fillId="0" borderId="3" xfId="0" applyNumberFormat="1" applyFont="1" applyBorder="1"/>
    <xf numFmtId="0" fontId="19" fillId="0" borderId="3" xfId="0" applyFont="1" applyBorder="1"/>
    <xf numFmtId="0" fontId="18" fillId="0" borderId="3" xfId="0" applyFont="1" applyBorder="1"/>
    <xf numFmtId="14" fontId="14" fillId="0" borderId="3" xfId="0" applyNumberFormat="1" applyFont="1" applyBorder="1"/>
    <xf numFmtId="0" fontId="14" fillId="0" borderId="3" xfId="0" applyFont="1" applyBorder="1"/>
    <xf numFmtId="0" fontId="0" fillId="0" borderId="4" xfId="0" applyBorder="1" applyAlignment="1">
      <alignment horizontal="center"/>
    </xf>
    <xf numFmtId="0" fontId="152" fillId="2" borderId="5" xfId="0" applyFont="1" applyFill="1" applyBorder="1" applyAlignment="1">
      <alignment horizontal="center"/>
    </xf>
    <xf numFmtId="0" fontId="152" fillId="2" borderId="6" xfId="0" applyFont="1" applyFill="1" applyBorder="1" applyAlignment="1">
      <alignment horizontal="center"/>
    </xf>
    <xf numFmtId="0" fontId="15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65" fillId="0" borderId="6" xfId="0" applyFont="1" applyBorder="1" applyAlignment="1">
      <alignment horizontal="center"/>
    </xf>
    <xf numFmtId="0" fontId="150" fillId="0" borderId="6" xfId="0" applyFont="1" applyBorder="1" applyAlignment="1">
      <alignment horizontal="center"/>
    </xf>
    <xf numFmtId="2" fontId="151" fillId="0" borderId="6" xfId="0" applyNumberFormat="1" applyFont="1" applyBorder="1" applyAlignment="1">
      <alignment horizontal="center"/>
    </xf>
    <xf numFmtId="0" fontId="0" fillId="0" borderId="6" xfId="0" applyBorder="1"/>
    <xf numFmtId="0" fontId="151" fillId="0" borderId="6" xfId="0" applyFont="1" applyBorder="1"/>
    <xf numFmtId="0" fontId="141" fillId="0" borderId="6" xfId="0" applyFont="1" applyBorder="1"/>
    <xf numFmtId="0" fontId="144" fillId="0" borderId="6" xfId="0" applyFont="1" applyBorder="1"/>
    <xf numFmtId="0" fontId="132" fillId="0" borderId="6" xfId="0" applyFont="1" applyBorder="1"/>
    <xf numFmtId="0" fontId="128" fillId="0" borderId="6" xfId="0" applyFont="1" applyBorder="1"/>
    <xf numFmtId="0" fontId="123" fillId="0" borderId="6" xfId="0" applyFont="1" applyBorder="1"/>
    <xf numFmtId="0" fontId="12" fillId="0" borderId="6" xfId="0" applyFont="1" applyBorder="1"/>
    <xf numFmtId="0" fontId="116" fillId="0" borderId="6" xfId="0" applyFont="1" applyBorder="1"/>
    <xf numFmtId="2" fontId="116" fillId="0" borderId="6" xfId="0" applyNumberFormat="1" applyFont="1" applyBorder="1"/>
    <xf numFmtId="0" fontId="106" fillId="0" borderId="6" xfId="0" applyFont="1" applyBorder="1"/>
    <xf numFmtId="0" fontId="102" fillId="0" borderId="6" xfId="0" applyFont="1" applyBorder="1"/>
    <xf numFmtId="2" fontId="102" fillId="0" borderId="6" xfId="0" applyNumberFormat="1" applyFont="1" applyBorder="1"/>
    <xf numFmtId="0" fontId="91" fillId="0" borderId="6" xfId="0" applyFont="1" applyBorder="1"/>
    <xf numFmtId="0" fontId="85" fillId="0" borderId="6" xfId="0" applyFont="1" applyBorder="1"/>
    <xf numFmtId="0" fontId="84" fillId="0" borderId="6" xfId="0" applyFont="1" applyBorder="1"/>
    <xf numFmtId="2" fontId="85" fillId="0" borderId="6" xfId="0" applyNumberFormat="1" applyFont="1" applyBorder="1"/>
    <xf numFmtId="0" fontId="77" fillId="0" borderId="6" xfId="0" applyFont="1" applyBorder="1"/>
    <xf numFmtId="0" fontId="61" fillId="0" borderId="6" xfId="0" applyFont="1" applyBorder="1"/>
    <xf numFmtId="0" fontId="59" fillId="0" borderId="6" xfId="0" applyFont="1" applyBorder="1"/>
    <xf numFmtId="0" fontId="57" fillId="0" borderId="6" xfId="0" applyFont="1" applyBorder="1"/>
    <xf numFmtId="0" fontId="51" fillId="0" borderId="6" xfId="0" applyFont="1" applyBorder="1"/>
    <xf numFmtId="0" fontId="46" fillId="0" borderId="6" xfId="0" applyFont="1" applyBorder="1"/>
    <xf numFmtId="0" fontId="45" fillId="0" borderId="6" xfId="0" applyFont="1" applyBorder="1"/>
    <xf numFmtId="0" fontId="44" fillId="0" borderId="6" xfId="0" applyFont="1" applyBorder="1"/>
    <xf numFmtId="0" fontId="43" fillId="0" borderId="6" xfId="0" applyFont="1" applyBorder="1"/>
    <xf numFmtId="0" fontId="37" fillId="0" borderId="6" xfId="0" applyFont="1" applyBorder="1"/>
    <xf numFmtId="0" fontId="35" fillId="0" borderId="6" xfId="0" applyFont="1" applyBorder="1" applyAlignment="1">
      <alignment horizontal="right"/>
    </xf>
    <xf numFmtId="0" fontId="35" fillId="0" borderId="6" xfId="0" applyFont="1" applyBorder="1"/>
    <xf numFmtId="2" fontId="35" fillId="0" borderId="6" xfId="0" applyNumberFormat="1" applyFont="1" applyBorder="1"/>
    <xf numFmtId="0" fontId="14" fillId="0" borderId="6" xfId="0" applyFont="1" applyBorder="1"/>
    <xf numFmtId="0" fontId="0" fillId="0" borderId="7" xfId="0" applyBorder="1" applyAlignment="1">
      <alignment horizontal="center"/>
    </xf>
    <xf numFmtId="0" fontId="152" fillId="2" borderId="8" xfId="0" applyFont="1" applyFill="1" applyBorder="1" applyAlignment="1">
      <alignment horizontal="center"/>
    </xf>
    <xf numFmtId="2" fontId="152" fillId="2" borderId="8" xfId="0" applyNumberFormat="1" applyFont="1" applyFill="1" applyBorder="1" applyAlignment="1">
      <alignment horizontal="center"/>
    </xf>
    <xf numFmtId="2" fontId="152" fillId="2" borderId="5" xfId="0" applyNumberFormat="1" applyFont="1" applyFill="1" applyBorder="1" applyAlignment="1">
      <alignment horizontal="center"/>
    </xf>
    <xf numFmtId="2" fontId="152" fillId="2" borderId="6" xfId="0" applyNumberFormat="1" applyFont="1" applyFill="1" applyBorder="1" applyAlignment="1">
      <alignment horizontal="center"/>
    </xf>
    <xf numFmtId="2" fontId="151" fillId="0" borderId="0" xfId="0" applyNumberFormat="1" applyFont="1" applyAlignment="1">
      <alignment horizontal="center"/>
    </xf>
    <xf numFmtId="0" fontId="150" fillId="0" borderId="0" xfId="0" applyFont="1" applyAlignment="1">
      <alignment horizontal="center"/>
    </xf>
    <xf numFmtId="0" fontId="149" fillId="0" borderId="0" xfId="0" applyFont="1" applyAlignment="1">
      <alignment horizontal="center"/>
    </xf>
    <xf numFmtId="0" fontId="147" fillId="0" borderId="0" xfId="0" applyFont="1" applyAlignment="1">
      <alignment horizontal="center"/>
    </xf>
    <xf numFmtId="0" fontId="144" fillId="0" borderId="0" xfId="0" applyFont="1" applyAlignment="1">
      <alignment horizontal="center"/>
    </xf>
    <xf numFmtId="2" fontId="0" fillId="0" borderId="0" xfId="0" applyNumberFormat="1"/>
    <xf numFmtId="2" fontId="0" fillId="0" borderId="6" xfId="0" applyNumberFormat="1" applyBorder="1"/>
    <xf numFmtId="0" fontId="144" fillId="0" borderId="0" xfId="0" applyFont="1"/>
    <xf numFmtId="2" fontId="151" fillId="0" borderId="0" xfId="0" applyNumberFormat="1" applyFont="1"/>
    <xf numFmtId="2" fontId="144" fillId="0" borderId="6" xfId="0" applyNumberFormat="1" applyFont="1" applyBorder="1"/>
    <xf numFmtId="0" fontId="143" fillId="0" borderId="0" xfId="0" applyFont="1"/>
    <xf numFmtId="0" fontId="142" fillId="0" borderId="0" xfId="0" applyFont="1"/>
    <xf numFmtId="0" fontId="141" fillId="0" borderId="0" xfId="0" applyFont="1"/>
    <xf numFmtId="0" fontId="140" fillId="0" borderId="0" xfId="0" applyFont="1"/>
    <xf numFmtId="2" fontId="144" fillId="0" borderId="0" xfId="0" applyNumberFormat="1" applyFont="1"/>
    <xf numFmtId="0" fontId="139" fillId="0" borderId="0" xfId="0" applyFont="1"/>
    <xf numFmtId="0" fontId="138" fillId="0" borderId="0" xfId="0" applyFont="1"/>
    <xf numFmtId="0" fontId="137" fillId="0" borderId="0" xfId="0" applyFont="1"/>
    <xf numFmtId="0" fontId="136" fillId="0" borderId="0" xfId="0" applyFont="1"/>
    <xf numFmtId="0" fontId="134" fillId="0" borderId="0" xfId="0" applyFont="1"/>
    <xf numFmtId="0" fontId="133" fillId="0" borderId="0" xfId="0" applyFont="1"/>
    <xf numFmtId="0" fontId="132" fillId="0" borderId="0" xfId="0" applyFont="1"/>
    <xf numFmtId="2" fontId="132" fillId="0" borderId="0" xfId="0" applyNumberFormat="1" applyFont="1"/>
    <xf numFmtId="0" fontId="131" fillId="0" borderId="0" xfId="0" applyFont="1"/>
    <xf numFmtId="0" fontId="130" fillId="0" borderId="0" xfId="0" applyFont="1"/>
    <xf numFmtId="0" fontId="129" fillId="0" borderId="0" xfId="0" applyFont="1"/>
    <xf numFmtId="0" fontId="128" fillId="0" borderId="0" xfId="0" applyFont="1"/>
    <xf numFmtId="2" fontId="128" fillId="0" borderId="0" xfId="0" applyNumberFormat="1" applyFont="1"/>
    <xf numFmtId="2" fontId="128" fillId="0" borderId="6" xfId="0" applyNumberFormat="1" applyFont="1" applyBorder="1"/>
    <xf numFmtId="0" fontId="127" fillId="0" borderId="0" xfId="0" applyFont="1"/>
    <xf numFmtId="0" fontId="126" fillId="0" borderId="0" xfId="0" applyFont="1"/>
    <xf numFmtId="0" fontId="125" fillId="0" borderId="0" xfId="0" applyFont="1"/>
    <xf numFmtId="0" fontId="124" fillId="0" borderId="0" xfId="0" applyFont="1"/>
    <xf numFmtId="0" fontId="123" fillId="0" borderId="0" xfId="0" applyFont="1"/>
    <xf numFmtId="2" fontId="123" fillId="0" borderId="0" xfId="0" applyNumberFormat="1" applyFont="1"/>
    <xf numFmtId="0" fontId="122" fillId="0" borderId="0" xfId="0" applyFont="1"/>
    <xf numFmtId="0" fontId="120" fillId="0" borderId="0" xfId="0" applyFont="1"/>
    <xf numFmtId="0" fontId="119" fillId="0" borderId="0" xfId="0" applyFont="1"/>
    <xf numFmtId="0" fontId="118" fillId="0" borderId="0" xfId="0" applyFont="1"/>
    <xf numFmtId="0" fontId="117" fillId="0" borderId="0" xfId="0" applyFont="1"/>
    <xf numFmtId="2" fontId="0" fillId="0" borderId="6" xfId="0" applyNumberFormat="1" applyBorder="1" applyAlignment="1">
      <alignment horizontal="center"/>
    </xf>
    <xf numFmtId="0" fontId="153" fillId="0" borderId="0" xfId="0" applyFont="1" applyAlignment="1">
      <alignment horizontal="center"/>
    </xf>
    <xf numFmtId="0" fontId="116" fillId="0" borderId="0" xfId="0" applyFont="1"/>
    <xf numFmtId="2" fontId="116" fillId="0" borderId="0" xfId="0" applyNumberFormat="1" applyFont="1"/>
    <xf numFmtId="0" fontId="115" fillId="0" borderId="0" xfId="0" applyFont="1"/>
    <xf numFmtId="0" fontId="114" fillId="0" borderId="0" xfId="0" applyFont="1"/>
    <xf numFmtId="0" fontId="113" fillId="0" borderId="0" xfId="0" applyFont="1"/>
    <xf numFmtId="0" fontId="112" fillId="0" borderId="0" xfId="0" applyFont="1"/>
    <xf numFmtId="0" fontId="111" fillId="0" borderId="0" xfId="0" applyFont="1"/>
    <xf numFmtId="0" fontId="110" fillId="0" borderId="0" xfId="0" applyFont="1"/>
    <xf numFmtId="0" fontId="109" fillId="0" borderId="0" xfId="0" applyFont="1"/>
    <xf numFmtId="0" fontId="107" fillId="0" borderId="0" xfId="0" applyFont="1"/>
    <xf numFmtId="2" fontId="107" fillId="0" borderId="6" xfId="0" applyNumberFormat="1" applyFont="1" applyBorder="1"/>
    <xf numFmtId="0" fontId="106" fillId="0" borderId="0" xfId="0" applyFont="1"/>
    <xf numFmtId="0" fontId="105" fillId="0" borderId="0" xfId="0" applyFont="1"/>
    <xf numFmtId="0" fontId="104" fillId="0" borderId="0" xfId="0" applyFont="1"/>
    <xf numFmtId="0" fontId="103" fillId="0" borderId="0" xfId="0" applyFont="1"/>
    <xf numFmtId="0" fontId="102" fillId="0" borderId="0" xfId="0" applyFont="1"/>
    <xf numFmtId="0" fontId="101" fillId="0" borderId="0" xfId="0" applyFont="1"/>
    <xf numFmtId="2" fontId="102" fillId="0" borderId="0" xfId="0" applyNumberFormat="1" applyFont="1"/>
    <xf numFmtId="0" fontId="100" fillId="0" borderId="0" xfId="0" applyFont="1"/>
    <xf numFmtId="0" fontId="99" fillId="0" borderId="0" xfId="0" applyFont="1"/>
    <xf numFmtId="0" fontId="98" fillId="0" borderId="0" xfId="0" applyFont="1"/>
    <xf numFmtId="0" fontId="97" fillId="0" borderId="0" xfId="0" applyFont="1"/>
    <xf numFmtId="0" fontId="96" fillId="0" borderId="0" xfId="0" applyFont="1"/>
    <xf numFmtId="0" fontId="95" fillId="0" borderId="0" xfId="0" applyFont="1"/>
    <xf numFmtId="0" fontId="94" fillId="0" borderId="0" xfId="0" applyFont="1"/>
    <xf numFmtId="0" fontId="93" fillId="0" borderId="0" xfId="0" applyFont="1"/>
    <xf numFmtId="0" fontId="92" fillId="0" borderId="0" xfId="0" applyFont="1"/>
    <xf numFmtId="0" fontId="91" fillId="0" borderId="0" xfId="0" applyFont="1"/>
    <xf numFmtId="0" fontId="90" fillId="0" borderId="0" xfId="0" applyFont="1"/>
    <xf numFmtId="0" fontId="89" fillId="0" borderId="0" xfId="0" applyFont="1"/>
    <xf numFmtId="0" fontId="88" fillId="0" borderId="0" xfId="0" applyFont="1"/>
    <xf numFmtId="0" fontId="87" fillId="0" borderId="0" xfId="0" applyFont="1"/>
    <xf numFmtId="0" fontId="86" fillId="0" borderId="0" xfId="0" applyFont="1"/>
    <xf numFmtId="2" fontId="86" fillId="0" borderId="0" xfId="0" applyNumberFormat="1" applyFont="1"/>
    <xf numFmtId="0" fontId="85" fillId="0" borderId="0" xfId="0" applyFont="1"/>
    <xf numFmtId="0" fontId="85" fillId="0" borderId="0" xfId="0" applyFont="1" applyAlignment="1">
      <alignment horizontal="center"/>
    </xf>
    <xf numFmtId="0" fontId="84" fillId="0" borderId="0" xfId="0" applyFont="1"/>
    <xf numFmtId="0" fontId="82" fillId="0" borderId="0" xfId="0" applyFont="1"/>
    <xf numFmtId="0" fontId="81" fillId="0" borderId="0" xfId="0" applyFont="1"/>
    <xf numFmtId="0" fontId="80" fillId="0" borderId="0" xfId="0" applyFont="1"/>
    <xf numFmtId="0" fontId="79" fillId="0" borderId="0" xfId="0" applyFont="1"/>
    <xf numFmtId="0" fontId="78" fillId="0" borderId="0" xfId="0" applyFont="1"/>
    <xf numFmtId="2" fontId="85" fillId="0" borderId="0" xfId="0" applyNumberFormat="1" applyFont="1"/>
    <xf numFmtId="0" fontId="77" fillId="0" borderId="0" xfId="0" applyFont="1"/>
    <xf numFmtId="0" fontId="76" fillId="0" borderId="0" xfId="0" applyFont="1"/>
    <xf numFmtId="0" fontId="75" fillId="0" borderId="0" xfId="0" applyFont="1"/>
    <xf numFmtId="0" fontId="74" fillId="0" borderId="0" xfId="0" applyFont="1"/>
    <xf numFmtId="0" fontId="73" fillId="0" borderId="0" xfId="0" applyFont="1"/>
    <xf numFmtId="0" fontId="72" fillId="0" borderId="0" xfId="0" applyFont="1"/>
    <xf numFmtId="0" fontId="71" fillId="0" borderId="0" xfId="0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67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61" fillId="0" borderId="0" xfId="0" applyFont="1"/>
    <xf numFmtId="0" fontId="60" fillId="0" borderId="0" xfId="0" applyFont="1"/>
    <xf numFmtId="0" fontId="60" fillId="0" borderId="6" xfId="0" applyFont="1" applyBorder="1"/>
    <xf numFmtId="0" fontId="59" fillId="0" borderId="0" xfId="0" applyFont="1"/>
    <xf numFmtId="0" fontId="58" fillId="0" borderId="0" xfId="0" applyFont="1"/>
    <xf numFmtId="0" fontId="57" fillId="0" borderId="0" xfId="0" applyFont="1"/>
    <xf numFmtId="0" fontId="57" fillId="0" borderId="0" xfId="0" applyFont="1" applyAlignment="1">
      <alignment horizontal="center"/>
    </xf>
    <xf numFmtId="2" fontId="57" fillId="0" borderId="0" xfId="0" applyNumberFormat="1" applyFont="1"/>
    <xf numFmtId="2" fontId="57" fillId="0" borderId="6" xfId="0" applyNumberFormat="1" applyFont="1" applyBorder="1"/>
    <xf numFmtId="0" fontId="56" fillId="0" borderId="0" xfId="0" applyFont="1"/>
    <xf numFmtId="0" fontId="55" fillId="0" borderId="0" xfId="0" applyFont="1"/>
    <xf numFmtId="0" fontId="54" fillId="0" borderId="0" xfId="0" applyFont="1"/>
    <xf numFmtId="0" fontId="52" fillId="0" borderId="0" xfId="0" applyFont="1"/>
    <xf numFmtId="0" fontId="50" fillId="0" borderId="0" xfId="0" applyFont="1"/>
    <xf numFmtId="0" fontId="49" fillId="0" borderId="0" xfId="0" applyFont="1"/>
    <xf numFmtId="0" fontId="48" fillId="0" borderId="0" xfId="0" applyFont="1"/>
    <xf numFmtId="0" fontId="47" fillId="0" borderId="0" xfId="0" applyFont="1"/>
    <xf numFmtId="0" fontId="45" fillId="0" borderId="0" xfId="0" applyFont="1"/>
    <xf numFmtId="0" fontId="44" fillId="0" borderId="0" xfId="0" applyFont="1"/>
    <xf numFmtId="0" fontId="43" fillId="0" borderId="0" xfId="0" applyFont="1"/>
    <xf numFmtId="0" fontId="41" fillId="0" borderId="0" xfId="0" applyFont="1"/>
    <xf numFmtId="0" fontId="40" fillId="0" borderId="0" xfId="0" applyFont="1"/>
    <xf numFmtId="0" fontId="39" fillId="0" borderId="0" xfId="0" applyFont="1"/>
    <xf numFmtId="0" fontId="37" fillId="0" borderId="0" xfId="0" applyFont="1"/>
    <xf numFmtId="0" fontId="35" fillId="0" borderId="0" xfId="0" applyFont="1"/>
    <xf numFmtId="2" fontId="37" fillId="0" borderId="6" xfId="0" applyNumberFormat="1" applyFont="1" applyBorder="1"/>
    <xf numFmtId="2" fontId="37" fillId="0" borderId="0" xfId="0" applyNumberFormat="1" applyFont="1"/>
    <xf numFmtId="0" fontId="35" fillId="0" borderId="0" xfId="0" applyFont="1" applyAlignment="1">
      <alignment horizontal="center"/>
    </xf>
    <xf numFmtId="0" fontId="31" fillId="0" borderId="0" xfId="0" applyFont="1"/>
    <xf numFmtId="0" fontId="30" fillId="0" borderId="0" xfId="0" applyFont="1"/>
    <xf numFmtId="2" fontId="35" fillId="0" borderId="0" xfId="0" applyNumberFormat="1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2" fontId="14" fillId="0" borderId="0" xfId="0" applyNumberFormat="1" applyFont="1"/>
    <xf numFmtId="2" fontId="14" fillId="0" borderId="6" xfId="0" applyNumberFormat="1" applyFont="1" applyBorder="1"/>
    <xf numFmtId="0" fontId="0" fillId="0" borderId="9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35" fillId="0" borderId="6" xfId="0" applyFont="1" applyBorder="1" applyAlignment="1">
      <alignment horizontal="center"/>
    </xf>
    <xf numFmtId="0" fontId="145" fillId="0" borderId="6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66" fillId="0" borderId="6" xfId="0" applyFon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149" fillId="0" borderId="6" xfId="0" applyFont="1" applyBorder="1" applyAlignment="1">
      <alignment horizontal="center"/>
    </xf>
    <xf numFmtId="0" fontId="143" fillId="0" borderId="6" xfId="0" applyFont="1" applyBorder="1"/>
    <xf numFmtId="0" fontId="140" fillId="0" borderId="6" xfId="0" applyFont="1" applyBorder="1"/>
    <xf numFmtId="0" fontId="139" fillId="0" borderId="6" xfId="0" applyFont="1" applyBorder="1"/>
    <xf numFmtId="0" fontId="138" fillId="0" borderId="6" xfId="0" applyFont="1" applyBorder="1"/>
    <xf numFmtId="0" fontId="136" fillId="0" borderId="6" xfId="0" applyFont="1" applyBorder="1"/>
    <xf numFmtId="0" fontId="134" fillId="0" borderId="6" xfId="0" applyFont="1" applyBorder="1"/>
    <xf numFmtId="0" fontId="133" fillId="0" borderId="6" xfId="0" applyFont="1" applyBorder="1"/>
    <xf numFmtId="0" fontId="131" fillId="0" borderId="6" xfId="0" applyFont="1" applyBorder="1"/>
    <xf numFmtId="0" fontId="129" fillId="0" borderId="6" xfId="0" applyFont="1" applyBorder="1"/>
    <xf numFmtId="0" fontId="127" fillId="0" borderId="6" xfId="0" applyFont="1" applyBorder="1"/>
    <xf numFmtId="0" fontId="126" fillId="0" borderId="6" xfId="0" applyFont="1" applyBorder="1"/>
    <xf numFmtId="0" fontId="124" fillId="0" borderId="6" xfId="0" applyFont="1" applyBorder="1"/>
    <xf numFmtId="0" fontId="122" fillId="0" borderId="6" xfId="0" applyFont="1" applyBorder="1"/>
    <xf numFmtId="0" fontId="121" fillId="0" borderId="6" xfId="0" applyFont="1" applyBorder="1"/>
    <xf numFmtId="0" fontId="119" fillId="0" borderId="6" xfId="0" applyFont="1" applyBorder="1"/>
    <xf numFmtId="0" fontId="117" fillId="0" borderId="6" xfId="0" applyFont="1" applyBorder="1"/>
    <xf numFmtId="0" fontId="11" fillId="0" borderId="6" xfId="0" applyFont="1" applyBorder="1"/>
    <xf numFmtId="0" fontId="114" fillId="0" borderId="6" xfId="0" applyFont="1" applyBorder="1"/>
    <xf numFmtId="0" fontId="7" fillId="0" borderId="6" xfId="0" applyFont="1" applyBorder="1"/>
    <xf numFmtId="0" fontId="5" fillId="0" borderId="6" xfId="0" applyFont="1" applyBorder="1"/>
    <xf numFmtId="0" fontId="95" fillId="0" borderId="6" xfId="0" applyFont="1" applyBorder="1"/>
    <xf numFmtId="0" fontId="3" fillId="0" borderId="6" xfId="0" applyFont="1" applyBorder="1"/>
    <xf numFmtId="0" fontId="92" fillId="0" borderId="6" xfId="0" applyFont="1" applyBorder="1"/>
    <xf numFmtId="0" fontId="83" fillId="0" borderId="6" xfId="0" applyFont="1" applyBorder="1"/>
    <xf numFmtId="0" fontId="80" fillId="0" borderId="6" xfId="0" applyFont="1" applyBorder="1"/>
    <xf numFmtId="0" fontId="78" fillId="0" borderId="6" xfId="0" applyFont="1" applyBorder="1"/>
    <xf numFmtId="0" fontId="76" fillId="0" borderId="6" xfId="0" applyFont="1" applyBorder="1"/>
    <xf numFmtId="0" fontId="75" fillId="0" borderId="6" xfId="0" applyFont="1" applyBorder="1"/>
    <xf numFmtId="0" fontId="74" fillId="0" borderId="6" xfId="0" applyFont="1" applyBorder="1"/>
    <xf numFmtId="0" fontId="70" fillId="0" borderId="6" xfId="0" applyFont="1" applyBorder="1"/>
    <xf numFmtId="0" fontId="68" fillId="0" borderId="6" xfId="0" applyFont="1" applyBorder="1"/>
    <xf numFmtId="0" fontId="67" fillId="0" borderId="6" xfId="0" applyFont="1" applyBorder="1"/>
    <xf numFmtId="0" fontId="55" fillId="0" borderId="6" xfId="0" applyFont="1" applyBorder="1"/>
    <xf numFmtId="0" fontId="50" fillId="0" borderId="6" xfId="0" applyFont="1" applyBorder="1"/>
    <xf numFmtId="0" fontId="49" fillId="0" borderId="6" xfId="0" applyFont="1" applyBorder="1"/>
    <xf numFmtId="0" fontId="47" fillId="0" borderId="6" xfId="0" applyFont="1" applyBorder="1"/>
    <xf numFmtId="0" fontId="20" fillId="0" borderId="6" xfId="0" applyFont="1" applyBorder="1"/>
    <xf numFmtId="0" fontId="18" fillId="0" borderId="6" xfId="0" applyFont="1" applyBorder="1"/>
    <xf numFmtId="0" fontId="108" fillId="0" borderId="6" xfId="0" applyFont="1" applyBorder="1"/>
    <xf numFmtId="0" fontId="107" fillId="0" borderId="6" xfId="0" applyFont="1" applyBorder="1"/>
    <xf numFmtId="0" fontId="4" fillId="0" borderId="6" xfId="0" applyFont="1" applyBorder="1"/>
    <xf numFmtId="0" fontId="1" fillId="0" borderId="6" xfId="0" quotePrefix="1" applyFont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6" xfId="0" applyNumberFormat="1" applyFill="1" applyBorder="1" applyAlignment="1">
      <alignment horizontal="center"/>
    </xf>
    <xf numFmtId="14" fontId="151" fillId="0" borderId="2" xfId="0" applyNumberFormat="1" applyFont="1" applyBorder="1" applyAlignment="1">
      <alignment horizontal="center"/>
    </xf>
    <xf numFmtId="0" fontId="151" fillId="0" borderId="5" xfId="0" applyFont="1" applyBorder="1" applyAlignment="1">
      <alignment horizontal="center"/>
    </xf>
    <xf numFmtId="0" fontId="151" fillId="0" borderId="8" xfId="0" applyFont="1" applyBorder="1" applyAlignment="1">
      <alignment horizontal="center"/>
    </xf>
    <xf numFmtId="2" fontId="151" fillId="0" borderId="8" xfId="0" applyNumberFormat="1" applyFont="1" applyBorder="1" applyAlignment="1">
      <alignment horizontal="center"/>
    </xf>
    <xf numFmtId="2" fontId="151" fillId="0" borderId="5" xfId="0" applyNumberFormat="1" applyFont="1" applyBorder="1" applyAlignment="1">
      <alignment horizontal="center"/>
    </xf>
    <xf numFmtId="0" fontId="151" fillId="0" borderId="7" xfId="0" applyFont="1" applyBorder="1" applyAlignment="1">
      <alignment horizontal="center"/>
    </xf>
    <xf numFmtId="0" fontId="151" fillId="0" borderId="9" xfId="0" applyFont="1" applyBorder="1" applyAlignment="1">
      <alignment horizontal="center"/>
    </xf>
    <xf numFmtId="2" fontId="151" fillId="0" borderId="9" xfId="0" applyNumberFormat="1" applyFont="1" applyBorder="1" applyAlignment="1">
      <alignment horizontal="center"/>
    </xf>
    <xf numFmtId="2" fontId="151" fillId="0" borderId="7" xfId="0" applyNumberFormat="1" applyFont="1" applyBorder="1" applyAlignment="1">
      <alignment horizontal="center"/>
    </xf>
    <xf numFmtId="0" fontId="146" fillId="0" borderId="7" xfId="0" applyFont="1" applyBorder="1" applyAlignment="1">
      <alignment horizontal="center"/>
    </xf>
    <xf numFmtId="0" fontId="148" fillId="0" borderId="7" xfId="0" applyFont="1" applyBorder="1" applyAlignment="1">
      <alignment horizontal="center"/>
    </xf>
    <xf numFmtId="0" fontId="53" fillId="0" borderId="9" xfId="0" applyFont="1" applyBorder="1" applyAlignment="1">
      <alignment horizontal="center"/>
    </xf>
    <xf numFmtId="0" fontId="53" fillId="0" borderId="7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150" fillId="0" borderId="9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148" fillId="0" borderId="9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149" fillId="0" borderId="9" xfId="0" applyFont="1" applyBorder="1" applyAlignment="1">
      <alignment horizontal="center"/>
    </xf>
    <xf numFmtId="0" fontId="144" fillId="0" borderId="9" xfId="0" applyFont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2" fontId="0" fillId="0" borderId="8" xfId="0" applyNumberFormat="1" applyBorder="1"/>
    <xf numFmtId="2" fontId="0" fillId="0" borderId="5" xfId="0" applyNumberFormat="1" applyBorder="1"/>
    <xf numFmtId="14" fontId="151" fillId="0" borderId="4" xfId="0" applyNumberFormat="1" applyFont="1" applyBorder="1"/>
    <xf numFmtId="0" fontId="151" fillId="0" borderId="7" xfId="0" applyFont="1" applyBorder="1"/>
    <xf numFmtId="0" fontId="144" fillId="0" borderId="9" xfId="0" applyFont="1" applyBorder="1"/>
    <xf numFmtId="2" fontId="151" fillId="0" borderId="9" xfId="0" applyNumberFormat="1" applyFont="1" applyBorder="1"/>
    <xf numFmtId="2" fontId="144" fillId="0" borderId="7" xfId="0" applyNumberFormat="1" applyFont="1" applyBorder="1"/>
    <xf numFmtId="0" fontId="142" fillId="0" borderId="9" xfId="0" applyFont="1" applyBorder="1"/>
    <xf numFmtId="0" fontId="141" fillId="0" borderId="7" xfId="0" applyFont="1" applyBorder="1"/>
    <xf numFmtId="14" fontId="151" fillId="0" borderId="2" xfId="0" applyNumberFormat="1" applyFont="1" applyBorder="1"/>
    <xf numFmtId="0" fontId="151" fillId="0" borderId="5" xfId="0" applyFont="1" applyBorder="1"/>
    <xf numFmtId="0" fontId="144" fillId="0" borderId="8" xfId="0" applyFont="1" applyBorder="1"/>
    <xf numFmtId="2" fontId="151" fillId="0" borderId="8" xfId="0" applyNumberFormat="1" applyFont="1" applyBorder="1"/>
    <xf numFmtId="2" fontId="144" fillId="0" borderId="5" xfId="0" applyNumberFormat="1" applyFont="1" applyBorder="1"/>
    <xf numFmtId="0" fontId="141" fillId="0" borderId="9" xfId="0" applyFont="1" applyBorder="1"/>
    <xf numFmtId="2" fontId="141" fillId="0" borderId="7" xfId="0" applyNumberFormat="1" applyFont="1" applyBorder="1"/>
    <xf numFmtId="0" fontId="144" fillId="0" borderId="4" xfId="0" applyFont="1" applyBorder="1" applyAlignment="1">
      <alignment horizontal="center"/>
    </xf>
    <xf numFmtId="0" fontId="144" fillId="0" borderId="4" xfId="0" applyFont="1" applyBorder="1"/>
    <xf numFmtId="0" fontId="144" fillId="0" borderId="7" xfId="0" applyFont="1" applyBorder="1"/>
    <xf numFmtId="2" fontId="144" fillId="0" borderId="9" xfId="0" applyNumberFormat="1" applyFont="1" applyBorder="1"/>
    <xf numFmtId="14" fontId="144" fillId="0" borderId="4" xfId="0" applyNumberFormat="1" applyFont="1" applyBorder="1"/>
    <xf numFmtId="0" fontId="137" fillId="0" borderId="9" xfId="0" applyFont="1" applyBorder="1"/>
    <xf numFmtId="0" fontId="136" fillId="0" borderId="9" xfId="0" applyFont="1" applyBorder="1"/>
    <xf numFmtId="0" fontId="136" fillId="0" borderId="7" xfId="0" applyFont="1" applyBorder="1"/>
    <xf numFmtId="0" fontId="133" fillId="0" borderId="9" xfId="0" applyFont="1" applyBorder="1"/>
    <xf numFmtId="0" fontId="133" fillId="0" borderId="7" xfId="0" applyFont="1" applyBorder="1"/>
    <xf numFmtId="0" fontId="132" fillId="0" borderId="7" xfId="0" applyFont="1" applyBorder="1"/>
    <xf numFmtId="0" fontId="130" fillId="0" borderId="9" xfId="0" applyFont="1" applyBorder="1"/>
    <xf numFmtId="0" fontId="128" fillId="0" borderId="4" xfId="0" applyFont="1" applyBorder="1" applyAlignment="1">
      <alignment horizontal="center"/>
    </xf>
    <xf numFmtId="0" fontId="128" fillId="0" borderId="4" xfId="0" applyFont="1" applyBorder="1"/>
    <xf numFmtId="0" fontId="128" fillId="0" borderId="7" xfId="0" applyFont="1" applyBorder="1"/>
    <xf numFmtId="0" fontId="128" fillId="0" borderId="9" xfId="0" applyFont="1" applyBorder="1"/>
    <xf numFmtId="2" fontId="128" fillId="0" borderId="9" xfId="0" applyNumberFormat="1" applyFont="1" applyBorder="1"/>
    <xf numFmtId="2" fontId="128" fillId="0" borderId="7" xfId="0" applyNumberFormat="1" applyFont="1" applyBorder="1"/>
    <xf numFmtId="0" fontId="126" fillId="0" borderId="9" xfId="0" applyFont="1" applyBorder="1"/>
    <xf numFmtId="0" fontId="125" fillId="0" borderId="9" xfId="0" applyFont="1" applyBorder="1"/>
    <xf numFmtId="0" fontId="125" fillId="0" borderId="7" xfId="0" applyFont="1" applyBorder="1"/>
    <xf numFmtId="0" fontId="120" fillId="0" borderId="9" xfId="0" applyFont="1" applyBorder="1"/>
    <xf numFmtId="0" fontId="119" fillId="0" borderId="7" xfId="0" applyFont="1" applyBorder="1"/>
    <xf numFmtId="0" fontId="119" fillId="0" borderId="9" xfId="0" applyFont="1" applyBorder="1"/>
    <xf numFmtId="2" fontId="119" fillId="0" borderId="7" xfId="0" applyNumberFormat="1" applyFont="1" applyBorder="1"/>
    <xf numFmtId="0" fontId="118" fillId="0" borderId="7" xfId="0" applyFont="1" applyBorder="1"/>
    <xf numFmtId="0" fontId="117" fillId="0" borderId="9" xfId="0" applyFont="1" applyBorder="1"/>
    <xf numFmtId="0" fontId="11" fillId="0" borderId="7" xfId="0" applyFont="1" applyBorder="1"/>
    <xf numFmtId="0" fontId="116" fillId="0" borderId="4" xfId="0" applyFont="1" applyBorder="1" applyAlignment="1">
      <alignment horizontal="center"/>
    </xf>
    <xf numFmtId="0" fontId="116" fillId="0" borderId="4" xfId="0" applyFont="1" applyBorder="1"/>
    <xf numFmtId="0" fontId="116" fillId="0" borderId="7" xfId="0" applyFont="1" applyBorder="1"/>
    <xf numFmtId="0" fontId="153" fillId="0" borderId="9" xfId="0" applyFont="1" applyBorder="1" applyAlignment="1">
      <alignment horizontal="center"/>
    </xf>
    <xf numFmtId="0" fontId="116" fillId="0" borderId="9" xfId="0" applyFont="1" applyBorder="1"/>
    <xf numFmtId="0" fontId="115" fillId="0" borderId="9" xfId="0" applyFont="1" applyBorder="1"/>
    <xf numFmtId="0" fontId="114" fillId="0" borderId="9" xfId="0" applyFont="1" applyBorder="1"/>
    <xf numFmtId="0" fontId="113" fillId="0" borderId="9" xfId="0" applyFont="1" applyBorder="1"/>
    <xf numFmtId="0" fontId="112" fillId="0" borderId="9" xfId="0" applyFont="1" applyBorder="1"/>
    <xf numFmtId="0" fontId="112" fillId="0" borderId="7" xfId="0" applyFont="1" applyBorder="1"/>
    <xf numFmtId="0" fontId="1" fillId="0" borderId="7" xfId="0" applyFont="1" applyBorder="1"/>
    <xf numFmtId="0" fontId="116" fillId="0" borderId="2" xfId="0" applyFont="1" applyBorder="1" applyAlignment="1">
      <alignment horizontal="center"/>
    </xf>
    <xf numFmtId="0" fontId="116" fillId="0" borderId="2" xfId="0" applyFont="1" applyBorder="1"/>
    <xf numFmtId="0" fontId="116" fillId="0" borderId="5" xfId="0" applyFont="1" applyBorder="1"/>
    <xf numFmtId="0" fontId="116" fillId="0" borderId="8" xfId="0" applyFont="1" applyBorder="1"/>
    <xf numFmtId="0" fontId="111" fillId="0" borderId="9" xfId="0" applyFont="1" applyBorder="1"/>
    <xf numFmtId="0" fontId="110" fillId="0" borderId="7" xfId="0" applyFont="1" applyBorder="1"/>
    <xf numFmtId="0" fontId="110" fillId="0" borderId="9" xfId="0" applyFont="1" applyBorder="1"/>
    <xf numFmtId="2" fontId="116" fillId="0" borderId="9" xfId="0" applyNumberFormat="1" applyFont="1" applyBorder="1"/>
    <xf numFmtId="14" fontId="116" fillId="0" borderId="2" xfId="0" applyNumberFormat="1" applyFont="1" applyBorder="1"/>
    <xf numFmtId="0" fontId="153" fillId="0" borderId="8" xfId="0" applyFont="1" applyBorder="1" applyAlignment="1">
      <alignment horizontal="center"/>
    </xf>
    <xf numFmtId="0" fontId="108" fillId="0" borderId="8" xfId="0" applyFont="1" applyBorder="1"/>
    <xf numFmtId="0" fontId="107" fillId="0" borderId="9" xfId="0" applyFont="1" applyBorder="1"/>
    <xf numFmtId="0" fontId="107" fillId="0" borderId="7" xfId="0" applyFont="1" applyBorder="1"/>
    <xf numFmtId="0" fontId="106" fillId="0" borderId="4" xfId="0" applyFont="1" applyBorder="1" applyAlignment="1">
      <alignment horizontal="center"/>
    </xf>
    <xf numFmtId="0" fontId="106" fillId="0" borderId="4" xfId="0" applyFont="1" applyBorder="1"/>
    <xf numFmtId="0" fontId="106" fillId="0" borderId="7" xfId="0" applyFont="1" applyBorder="1"/>
    <xf numFmtId="0" fontId="106" fillId="0" borderId="9" xfId="0" applyFont="1" applyBorder="1"/>
    <xf numFmtId="0" fontId="105" fillId="0" borderId="7" xfId="0" applyFont="1" applyBorder="1"/>
    <xf numFmtId="0" fontId="105" fillId="0" borderId="9" xfId="0" applyFont="1" applyBorder="1"/>
    <xf numFmtId="0" fontId="104" fillId="0" borderId="9" xfId="0" applyFont="1" applyBorder="1"/>
    <xf numFmtId="0" fontId="103" fillId="0" borderId="9" xfId="0" applyFont="1" applyBorder="1"/>
    <xf numFmtId="0" fontId="102" fillId="0" borderId="7" xfId="0" applyFont="1" applyBorder="1"/>
    <xf numFmtId="0" fontId="10" fillId="0" borderId="7" xfId="0" applyFont="1" applyBorder="1"/>
    <xf numFmtId="0" fontId="102" fillId="0" borderId="4" xfId="0" applyFont="1" applyBorder="1" applyAlignment="1">
      <alignment horizontal="center"/>
    </xf>
    <xf numFmtId="0" fontId="102" fillId="0" borderId="4" xfId="0" applyFont="1" applyBorder="1"/>
    <xf numFmtId="0" fontId="102" fillId="0" borderId="9" xfId="0" applyFont="1" applyBorder="1"/>
    <xf numFmtId="0" fontId="101" fillId="0" borderId="9" xfId="0" applyFont="1" applyBorder="1"/>
    <xf numFmtId="0" fontId="9" fillId="0" borderId="7" xfId="0" applyFont="1" applyBorder="1"/>
    <xf numFmtId="0" fontId="100" fillId="0" borderId="9" xfId="0" applyFont="1" applyBorder="1"/>
    <xf numFmtId="0" fontId="99" fillId="0" borderId="7" xfId="0" applyFont="1" applyBorder="1"/>
    <xf numFmtId="0" fontId="99" fillId="0" borderId="9" xfId="0" applyFont="1" applyBorder="1"/>
    <xf numFmtId="2" fontId="102" fillId="0" borderId="9" xfId="0" applyNumberFormat="1" applyFont="1" applyBorder="1"/>
    <xf numFmtId="0" fontId="0" fillId="0" borderId="7" xfId="0" applyBorder="1"/>
    <xf numFmtId="0" fontId="8" fillId="0" borderId="7" xfId="0" applyFont="1" applyBorder="1"/>
    <xf numFmtId="0" fontId="102" fillId="0" borderId="2" xfId="0" applyFont="1" applyBorder="1" applyAlignment="1">
      <alignment horizontal="center"/>
    </xf>
    <xf numFmtId="14" fontId="102" fillId="0" borderId="2" xfId="0" applyNumberFormat="1" applyFont="1" applyBorder="1"/>
    <xf numFmtId="0" fontId="102" fillId="0" borderId="5" xfId="0" applyFont="1" applyBorder="1"/>
    <xf numFmtId="0" fontId="98" fillId="0" borderId="8" xfId="0" applyFont="1" applyBorder="1"/>
    <xf numFmtId="0" fontId="102" fillId="0" borderId="8" xfId="0" applyFont="1" applyBorder="1"/>
    <xf numFmtId="0" fontId="98" fillId="0" borderId="9" xfId="0" applyFont="1" applyBorder="1"/>
    <xf numFmtId="0" fontId="6" fillId="0" borderId="7" xfId="0" applyFont="1" applyBorder="1"/>
    <xf numFmtId="0" fontId="93" fillId="0" borderId="9" xfId="0" applyFont="1" applyBorder="1"/>
    <xf numFmtId="0" fontId="3" fillId="0" borderId="7" xfId="0" applyFont="1" applyBorder="1"/>
    <xf numFmtId="0" fontId="92" fillId="0" borderId="9" xfId="0" applyFont="1" applyBorder="1"/>
    <xf numFmtId="0" fontId="90" fillId="0" borderId="9" xfId="0" applyFont="1" applyBorder="1"/>
    <xf numFmtId="0" fontId="89" fillId="0" borderId="7" xfId="0" applyFont="1" applyBorder="1"/>
    <xf numFmtId="0" fontId="2" fillId="0" borderId="7" xfId="0" applyFont="1" applyBorder="1"/>
    <xf numFmtId="0" fontId="89" fillId="0" borderId="9" xfId="0" applyFont="1" applyBorder="1"/>
    <xf numFmtId="0" fontId="88" fillId="0" borderId="9" xfId="0" applyFont="1" applyBorder="1"/>
    <xf numFmtId="0" fontId="88" fillId="0" borderId="7" xfId="0" applyFont="1" applyBorder="1"/>
    <xf numFmtId="0" fontId="86" fillId="0" borderId="9" xfId="0" applyFont="1" applyBorder="1"/>
    <xf numFmtId="0" fontId="86" fillId="0" borderId="7" xfId="0" applyFont="1" applyBorder="1"/>
    <xf numFmtId="0" fontId="85" fillId="0" borderId="4" xfId="0" applyFont="1" applyBorder="1" applyAlignment="1">
      <alignment horizontal="center"/>
    </xf>
    <xf numFmtId="0" fontId="85" fillId="0" borderId="4" xfId="0" applyFont="1" applyBorder="1"/>
    <xf numFmtId="0" fontId="85" fillId="0" borderId="7" xfId="0" applyFont="1" applyBorder="1"/>
    <xf numFmtId="0" fontId="85" fillId="0" borderId="9" xfId="0" applyFont="1" applyBorder="1" applyAlignment="1">
      <alignment horizontal="center"/>
    </xf>
    <xf numFmtId="2" fontId="85" fillId="0" borderId="7" xfId="0" applyNumberFormat="1" applyFont="1" applyBorder="1"/>
    <xf numFmtId="0" fontId="81" fillId="0" borderId="9" xfId="0" applyFont="1" applyBorder="1"/>
    <xf numFmtId="0" fontId="85" fillId="0" borderId="9" xfId="0" applyFont="1" applyBorder="1"/>
    <xf numFmtId="0" fontId="80" fillId="0" borderId="7" xfId="0" applyFont="1" applyBorder="1"/>
    <xf numFmtId="0" fontId="85" fillId="0" borderId="2" xfId="0" applyFont="1" applyBorder="1" applyAlignment="1">
      <alignment horizontal="center"/>
    </xf>
    <xf numFmtId="14" fontId="85" fillId="0" borderId="2" xfId="0" applyNumberFormat="1" applyFont="1" applyBorder="1"/>
    <xf numFmtId="2" fontId="85" fillId="0" borderId="5" xfId="0" applyNumberFormat="1" applyFont="1" applyBorder="1"/>
    <xf numFmtId="0" fontId="85" fillId="0" borderId="8" xfId="0" applyFont="1" applyBorder="1" applyAlignment="1">
      <alignment horizontal="center"/>
    </xf>
    <xf numFmtId="0" fontId="78" fillId="0" borderId="8" xfId="0" applyFont="1" applyBorder="1"/>
    <xf numFmtId="2" fontId="85" fillId="0" borderId="8" xfId="0" applyNumberFormat="1" applyFont="1" applyBorder="1"/>
    <xf numFmtId="0" fontId="85" fillId="0" borderId="5" xfId="0" applyFont="1" applyBorder="1"/>
    <xf numFmtId="0" fontId="78" fillId="0" borderId="9" xfId="0" applyFont="1" applyBorder="1"/>
    <xf numFmtId="0" fontId="74" fillId="0" borderId="9" xfId="0" applyFont="1" applyBorder="1"/>
    <xf numFmtId="0" fontId="72" fillId="0" borderId="9" xfId="0" applyFont="1" applyBorder="1"/>
    <xf numFmtId="0" fontId="85" fillId="0" borderId="2" xfId="0" applyFont="1" applyBorder="1"/>
    <xf numFmtId="0" fontId="85" fillId="0" borderId="8" xfId="0" applyFont="1" applyBorder="1"/>
    <xf numFmtId="0" fontId="68" fillId="0" borderId="9" xfId="0" applyFont="1" applyBorder="1"/>
    <xf numFmtId="2" fontId="85" fillId="0" borderId="9" xfId="0" applyNumberFormat="1" applyFont="1" applyBorder="1"/>
    <xf numFmtId="0" fontId="64" fillId="0" borderId="8" xfId="0" applyFont="1" applyBorder="1"/>
    <xf numFmtId="0" fontId="63" fillId="0" borderId="9" xfId="0" applyFont="1" applyBorder="1"/>
    <xf numFmtId="0" fontId="62" fillId="0" borderId="9" xfId="0" applyFont="1" applyBorder="1"/>
    <xf numFmtId="0" fontId="61" fillId="0" borderId="7" xfId="0" applyFont="1" applyBorder="1"/>
    <xf numFmtId="0" fontId="61" fillId="0" borderId="9" xfId="0" applyFont="1" applyBorder="1"/>
    <xf numFmtId="0" fontId="61" fillId="0" borderId="7" xfId="0" applyFont="1" applyBorder="1" applyAlignment="1">
      <alignment horizontal="right"/>
    </xf>
    <xf numFmtId="0" fontId="60" fillId="0" borderId="9" xfId="0" applyFont="1" applyBorder="1"/>
    <xf numFmtId="2" fontId="59" fillId="0" borderId="7" xfId="0" applyNumberFormat="1" applyFont="1" applyBorder="1" applyAlignment="1">
      <alignment horizontal="right"/>
    </xf>
    <xf numFmtId="0" fontId="59" fillId="0" borderId="7" xfId="0" applyFont="1" applyBorder="1"/>
    <xf numFmtId="0" fontId="59" fillId="0" borderId="9" xfId="0" applyFont="1" applyBorder="1"/>
    <xf numFmtId="0" fontId="57" fillId="0" borderId="9" xfId="0" applyFont="1" applyBorder="1"/>
    <xf numFmtId="0" fontId="57" fillId="0" borderId="4" xfId="0" applyFont="1" applyBorder="1" applyAlignment="1">
      <alignment horizontal="center"/>
    </xf>
    <xf numFmtId="0" fontId="57" fillId="0" borderId="4" xfId="0" applyFont="1" applyBorder="1"/>
    <xf numFmtId="0" fontId="57" fillId="0" borderId="7" xfId="0" applyFont="1" applyBorder="1"/>
    <xf numFmtId="0" fontId="57" fillId="0" borderId="9" xfId="0" applyFont="1" applyBorder="1" applyAlignment="1">
      <alignment horizontal="center"/>
    </xf>
    <xf numFmtId="2" fontId="57" fillId="0" borderId="9" xfId="0" applyNumberFormat="1" applyFont="1" applyBorder="1"/>
    <xf numFmtId="2" fontId="57" fillId="0" borderId="7" xfId="0" applyNumberFormat="1" applyFont="1" applyBorder="1"/>
    <xf numFmtId="0" fontId="0" fillId="0" borderId="9" xfId="0" applyBorder="1"/>
    <xf numFmtId="0" fontId="54" fillId="0" borderId="9" xfId="0" applyFont="1" applyBorder="1"/>
    <xf numFmtId="0" fontId="54" fillId="0" borderId="7" xfId="0" applyFont="1" applyBorder="1"/>
    <xf numFmtId="0" fontId="48" fillId="0" borderId="9" xfId="0" applyFont="1" applyBorder="1"/>
    <xf numFmtId="0" fontId="46" fillId="0" borderId="9" xfId="0" applyFont="1" applyBorder="1"/>
    <xf numFmtId="0" fontId="45" fillId="0" borderId="7" xfId="0" applyFont="1" applyBorder="1"/>
    <xf numFmtId="0" fontId="45" fillId="0" borderId="9" xfId="0" applyFont="1" applyBorder="1"/>
    <xf numFmtId="0" fontId="44" fillId="0" borderId="9" xfId="0" applyFont="1" applyBorder="1"/>
    <xf numFmtId="0" fontId="43" fillId="0" borderId="7" xfId="0" applyFont="1" applyBorder="1"/>
    <xf numFmtId="0" fontId="42" fillId="0" borderId="9" xfId="0" applyFont="1" applyBorder="1"/>
    <xf numFmtId="0" fontId="41" fillId="0" borderId="7" xfId="0" applyFont="1" applyBorder="1"/>
    <xf numFmtId="0" fontId="41" fillId="0" borderId="9" xfId="0" applyFont="1" applyBorder="1"/>
    <xf numFmtId="0" fontId="40" fillId="0" borderId="7" xfId="0" applyFont="1" applyBorder="1"/>
    <xf numFmtId="0" fontId="40" fillId="0" borderId="9" xfId="0" applyFont="1" applyBorder="1"/>
    <xf numFmtId="0" fontId="0" fillId="0" borderId="4" xfId="0" applyBorder="1"/>
    <xf numFmtId="0" fontId="39" fillId="0" borderId="9" xfId="0" applyFont="1" applyBorder="1"/>
    <xf numFmtId="0" fontId="39" fillId="0" borderId="7" xfId="0" applyFont="1" applyBorder="1"/>
    <xf numFmtId="0" fontId="37" fillId="0" borderId="4" xfId="0" applyFont="1" applyBorder="1" applyAlignment="1">
      <alignment horizontal="center"/>
    </xf>
    <xf numFmtId="0" fontId="37" fillId="0" borderId="4" xfId="0" applyFont="1" applyBorder="1"/>
    <xf numFmtId="0" fontId="37" fillId="0" borderId="7" xfId="0" applyFont="1" applyBorder="1"/>
    <xf numFmtId="0" fontId="37" fillId="0" borderId="9" xfId="0" applyFont="1" applyBorder="1"/>
    <xf numFmtId="0" fontId="35" fillId="0" borderId="9" xfId="0" applyFont="1" applyBorder="1"/>
    <xf numFmtId="2" fontId="37" fillId="0" borderId="9" xfId="0" applyNumberFormat="1" applyFont="1" applyBorder="1"/>
    <xf numFmtId="0" fontId="35" fillId="0" borderId="7" xfId="0" applyFont="1" applyBorder="1"/>
    <xf numFmtId="0" fontId="35" fillId="0" borderId="4" xfId="0" applyFont="1" applyBorder="1" applyAlignment="1">
      <alignment horizontal="center"/>
    </xf>
    <xf numFmtId="0" fontId="35" fillId="0" borderId="4" xfId="0" applyFont="1" applyBorder="1"/>
    <xf numFmtId="0" fontId="35" fillId="0" borderId="9" xfId="0" applyFont="1" applyBorder="1" applyAlignment="1">
      <alignment horizontal="center"/>
    </xf>
    <xf numFmtId="0" fontId="32" fillId="0" borderId="9" xfId="0" applyFont="1" applyBorder="1"/>
    <xf numFmtId="0" fontId="31" fillId="0" borderId="9" xfId="0" applyFont="1" applyBorder="1"/>
    <xf numFmtId="0" fontId="30" fillId="0" borderId="9" xfId="0" applyFont="1" applyBorder="1"/>
    <xf numFmtId="2" fontId="35" fillId="0" borderId="9" xfId="0" applyNumberFormat="1" applyFont="1" applyBorder="1"/>
    <xf numFmtId="0" fontId="29" fillId="0" borderId="9" xfId="0" applyFont="1" applyBorder="1"/>
    <xf numFmtId="0" fontId="28" fillId="0" borderId="7" xfId="0" applyFont="1" applyBorder="1"/>
    <xf numFmtId="0" fontId="28" fillId="0" borderId="9" xfId="0" applyFont="1" applyBorder="1"/>
    <xf numFmtId="0" fontId="27" fillId="0" borderId="9" xfId="0" applyFont="1" applyBorder="1"/>
    <xf numFmtId="0" fontId="27" fillId="0" borderId="7" xfId="0" applyFont="1" applyBorder="1"/>
    <xf numFmtId="0" fontId="26" fillId="0" borderId="9" xfId="0" applyFont="1" applyBorder="1"/>
    <xf numFmtId="2" fontId="35" fillId="0" borderId="7" xfId="0" applyNumberFormat="1" applyFont="1" applyBorder="1"/>
    <xf numFmtId="0" fontId="25" fillId="0" borderId="7" xfId="0" applyFont="1" applyBorder="1"/>
    <xf numFmtId="0" fontId="24" fillId="0" borderId="9" xfId="0" applyFont="1" applyBorder="1"/>
    <xf numFmtId="0" fontId="23" fillId="0" borderId="9" xfId="0" applyFont="1" applyBorder="1"/>
    <xf numFmtId="0" fontId="18" fillId="0" borderId="9" xfId="0" applyFont="1" applyBorder="1"/>
    <xf numFmtId="0" fontId="17" fillId="0" borderId="9" xfId="0" applyFont="1" applyBorder="1"/>
    <xf numFmtId="0" fontId="15" fillId="0" borderId="9" xfId="0" applyFont="1" applyBorder="1"/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4" fillId="0" borderId="7" xfId="0" applyFont="1" applyBorder="1"/>
    <xf numFmtId="0" fontId="14" fillId="0" borderId="9" xfId="0" applyFont="1" applyBorder="1"/>
    <xf numFmtId="2" fontId="14" fillId="0" borderId="9" xfId="0" applyNumberFormat="1" applyFont="1" applyBorder="1"/>
    <xf numFmtId="0" fontId="13" fillId="0" borderId="9" xfId="0" applyFont="1" applyBorder="1"/>
    <xf numFmtId="0" fontId="0" fillId="0" borderId="0" xfId="0" applyAlignment="1">
      <alignment horizontal="left"/>
    </xf>
    <xf numFmtId="0" fontId="154" fillId="0" borderId="0" xfId="1" applyAlignment="1">
      <alignment horizontal="left"/>
    </xf>
    <xf numFmtId="0" fontId="1" fillId="0" borderId="0" xfId="0" applyFont="1" applyAlignment="1">
      <alignment horizontal="left"/>
    </xf>
    <xf numFmtId="0" fontId="155" fillId="0" borderId="0" xfId="1" applyFont="1" applyAlignment="1">
      <alignment horizontal="left"/>
    </xf>
    <xf numFmtId="0" fontId="155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152" fillId="2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56" fillId="0" borderId="0" xfId="0" quotePrefix="1" applyFont="1" applyAlignment="1">
      <alignment horizontal="left"/>
    </xf>
    <xf numFmtId="0" fontId="1" fillId="0" borderId="0" xfId="0" applyFont="1"/>
    <xf numFmtId="0" fontId="156" fillId="0" borderId="0" xfId="0" applyFont="1"/>
    <xf numFmtId="0" fontId="1" fillId="0" borderId="0" xfId="0" applyFont="1" applyAlignment="1">
      <alignment wrapText="1"/>
    </xf>
    <xf numFmtId="0" fontId="154" fillId="0" borderId="0" xfId="1"/>
    <xf numFmtId="0" fontId="106" fillId="0" borderId="2" xfId="0" applyFont="1" applyBorder="1" applyAlignment="1">
      <alignment horizontal="center"/>
    </xf>
    <xf numFmtId="0" fontId="106" fillId="0" borderId="2" xfId="0" applyFont="1" applyBorder="1"/>
    <xf numFmtId="0" fontId="106" fillId="0" borderId="5" xfId="0" applyFont="1" applyBorder="1"/>
    <xf numFmtId="0" fontId="106" fillId="0" borderId="8" xfId="0" applyFont="1" applyBorder="1"/>
    <xf numFmtId="14" fontId="106" fillId="0" borderId="4" xfId="0" applyNumberFormat="1" applyFont="1" applyBorder="1"/>
    <xf numFmtId="0" fontId="102" fillId="0" borderId="2" xfId="0" applyFont="1" applyBorder="1"/>
    <xf numFmtId="0" fontId="157" fillId="0" borderId="0" xfId="0" applyFont="1"/>
    <xf numFmtId="0" fontId="157" fillId="0" borderId="5" xfId="0" applyFont="1" applyBorder="1"/>
    <xf numFmtId="0" fontId="83" fillId="0" borderId="0" xfId="0" applyFont="1"/>
    <xf numFmtId="0" fontId="157" fillId="0" borderId="6" xfId="0" applyFont="1" applyBorder="1"/>
    <xf numFmtId="0" fontId="157" fillId="0" borderId="7" xfId="0" applyFont="1" applyBorder="1"/>
    <xf numFmtId="14" fontId="102" fillId="0" borderId="4" xfId="0" applyNumberFormat="1" applyFont="1" applyBorder="1"/>
    <xf numFmtId="0" fontId="37" fillId="0" borderId="2" xfId="0" applyFont="1" applyBorder="1" applyAlignment="1">
      <alignment horizontal="center"/>
    </xf>
    <xf numFmtId="0" fontId="37" fillId="0" borderId="2" xfId="0" applyFont="1" applyBorder="1"/>
    <xf numFmtId="0" fontId="37" fillId="0" borderId="5" xfId="0" applyFont="1" applyBorder="1"/>
    <xf numFmtId="0" fontId="57" fillId="0" borderId="8" xfId="0" applyFont="1" applyBorder="1" applyAlignment="1">
      <alignment horizontal="center"/>
    </xf>
    <xf numFmtId="0" fontId="37" fillId="0" borderId="8" xfId="0" applyFont="1" applyBorder="1"/>
    <xf numFmtId="0" fontId="158" fillId="0" borderId="0" xfId="0" applyFont="1"/>
    <xf numFmtId="0" fontId="158" fillId="0" borderId="0" xfId="0" quotePrefix="1" applyFont="1" applyAlignment="1">
      <alignment horizontal="left"/>
    </xf>
    <xf numFmtId="0" fontId="152" fillId="0" borderId="0" xfId="0" quotePrefix="1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152" fillId="0" borderId="0" xfId="0" applyFont="1" applyAlignment="1">
      <alignment horizontal="left"/>
    </xf>
    <xf numFmtId="0" fontId="152" fillId="0" borderId="0" xfId="0" applyFont="1" applyAlignment="1">
      <alignment horizontal="center"/>
    </xf>
    <xf numFmtId="0" fontId="15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vwzr-rmCAIg" TargetMode="External"/><Relationship Id="rId21" Type="http://schemas.openxmlformats.org/officeDocument/2006/relationships/hyperlink" Target="https://www.youtube.com/watch?v=LZAyORBWHkc&amp;frags=pl%2Cwn" TargetMode="External"/><Relationship Id="rId42" Type="http://schemas.openxmlformats.org/officeDocument/2006/relationships/hyperlink" Target="http://3.4.6.1/" TargetMode="External"/><Relationship Id="rId47" Type="http://schemas.openxmlformats.org/officeDocument/2006/relationships/hyperlink" Target="https://www.youtube.com/watch?v=QvaBB09CHDI" TargetMode="External"/><Relationship Id="rId63" Type="http://schemas.openxmlformats.org/officeDocument/2006/relationships/hyperlink" Target="https://h1/" TargetMode="External"/><Relationship Id="rId68" Type="http://schemas.openxmlformats.org/officeDocument/2006/relationships/hyperlink" Target="https://www.youtube.com/watch?v=4nzwGKLpF1Y" TargetMode="External"/><Relationship Id="rId84" Type="http://schemas.openxmlformats.org/officeDocument/2006/relationships/hyperlink" Target="https://www.youtube.com/watch?v=z42CRhyYkaE" TargetMode="External"/><Relationship Id="rId89" Type="http://schemas.openxmlformats.org/officeDocument/2006/relationships/hyperlink" Target="https://www.youtube.com/watch?v=bbQm9RvFTYw" TargetMode="External"/><Relationship Id="rId16" Type="http://schemas.openxmlformats.org/officeDocument/2006/relationships/hyperlink" Target="https://www.youtube.com/watch?v=DGPjlAB2KoA" TargetMode="External"/><Relationship Id="rId11" Type="http://schemas.openxmlformats.org/officeDocument/2006/relationships/hyperlink" Target="https://www.youtube.com/watch?v=MII0-WMiCRA" TargetMode="External"/><Relationship Id="rId32" Type="http://schemas.openxmlformats.org/officeDocument/2006/relationships/hyperlink" Target="https://www.youtube.com/watch?v=WZ6IdDRXNzc" TargetMode="External"/><Relationship Id="rId37" Type="http://schemas.openxmlformats.org/officeDocument/2006/relationships/hyperlink" Target="http://3.3.4.1/" TargetMode="External"/><Relationship Id="rId53" Type="http://schemas.openxmlformats.org/officeDocument/2006/relationships/hyperlink" Target="https://h1/" TargetMode="External"/><Relationship Id="rId58" Type="http://schemas.openxmlformats.org/officeDocument/2006/relationships/hyperlink" Target="https://h1/" TargetMode="External"/><Relationship Id="rId74" Type="http://schemas.openxmlformats.org/officeDocument/2006/relationships/hyperlink" Target="https://h1/" TargetMode="External"/><Relationship Id="rId79" Type="http://schemas.openxmlformats.org/officeDocument/2006/relationships/hyperlink" Target="https://www.youtube.com/watch?v=En17R8e8FEM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RJ0rC1roGYE" TargetMode="External"/><Relationship Id="rId90" Type="http://schemas.openxmlformats.org/officeDocument/2006/relationships/hyperlink" Target="https://www.youtube.com/watch?v=-HSnXsFVpkk" TargetMode="External"/><Relationship Id="rId95" Type="http://schemas.openxmlformats.org/officeDocument/2006/relationships/hyperlink" Target="https://www.youtube.com/watch?v=vVRTcBM6bW0" TargetMode="External"/><Relationship Id="rId22" Type="http://schemas.openxmlformats.org/officeDocument/2006/relationships/hyperlink" Target="https://www.youtube.com/watch?v=msMS_nQsy_g" TargetMode="External"/><Relationship Id="rId27" Type="http://schemas.openxmlformats.org/officeDocument/2006/relationships/hyperlink" Target="https://www.youtube.com/watch?v=UZn5nE2O5Xo" TargetMode="External"/><Relationship Id="rId43" Type="http://schemas.openxmlformats.org/officeDocument/2006/relationships/hyperlink" Target="https://www.youtube.com/watch?v=Zj43zg9-3ug" TargetMode="External"/><Relationship Id="rId48" Type="http://schemas.openxmlformats.org/officeDocument/2006/relationships/hyperlink" Target="https://www.youtube.com/watch?v=dSgPzo3S_94" TargetMode="External"/><Relationship Id="rId64" Type="http://schemas.openxmlformats.org/officeDocument/2006/relationships/hyperlink" Target="https://www.youtube.com/watch?v=aqIPov47OD8" TargetMode="External"/><Relationship Id="rId69" Type="http://schemas.openxmlformats.org/officeDocument/2006/relationships/hyperlink" Target="https://www.youtube.com/watch?v=KYCrgE57cIU" TargetMode="External"/><Relationship Id="rId80" Type="http://schemas.openxmlformats.org/officeDocument/2006/relationships/hyperlink" Target="https://www.youtube.com/watch?v=En17R8e8FEM" TargetMode="External"/><Relationship Id="rId85" Type="http://schemas.openxmlformats.org/officeDocument/2006/relationships/hyperlink" Target="https://www.youtube.com/watch?v=mcXc1D39dNE" TargetMode="External"/><Relationship Id="rId12" Type="http://schemas.openxmlformats.org/officeDocument/2006/relationships/hyperlink" Target="https://www.youtube.com/watch?v=CA6Q0-2-65s" TargetMode="External"/><Relationship Id="rId17" Type="http://schemas.openxmlformats.org/officeDocument/2006/relationships/hyperlink" Target="https://www.youtube.com/watch?v=Rj9ExkSl0NE" TargetMode="External"/><Relationship Id="rId25" Type="http://schemas.openxmlformats.org/officeDocument/2006/relationships/hyperlink" Target="https://www.youtube.com/watch?v=5_te7lMUnJY" TargetMode="External"/><Relationship Id="rId33" Type="http://schemas.openxmlformats.org/officeDocument/2006/relationships/hyperlink" Target="https://www.youtube.com/watch?v=U1CFFnO7dqs" TargetMode="External"/><Relationship Id="rId38" Type="http://schemas.openxmlformats.org/officeDocument/2006/relationships/hyperlink" Target="https://www.youtube.com/watch?v=ShJvFs1yvBA" TargetMode="External"/><Relationship Id="rId46" Type="http://schemas.openxmlformats.org/officeDocument/2006/relationships/hyperlink" Target="http://3.5.1.1/" TargetMode="External"/><Relationship Id="rId59" Type="http://schemas.openxmlformats.org/officeDocument/2006/relationships/hyperlink" Target="https://www.youtube.com/watch?v=owACaHfnStk" TargetMode="External"/><Relationship Id="rId67" Type="http://schemas.openxmlformats.org/officeDocument/2006/relationships/hyperlink" Target="https://h1/" TargetMode="External"/><Relationship Id="rId20" Type="http://schemas.openxmlformats.org/officeDocument/2006/relationships/hyperlink" Target="https://www.youtube.com/watch?v=sz5MVQljUUI" TargetMode="External"/><Relationship Id="rId41" Type="http://schemas.openxmlformats.org/officeDocument/2006/relationships/hyperlink" Target="https://www.youtube.com/watch?v=tVH8-yDUq30" TargetMode="External"/><Relationship Id="rId54" Type="http://schemas.openxmlformats.org/officeDocument/2006/relationships/hyperlink" Target="https://www.youtube.com/watch?v=H669N76DrwA" TargetMode="External"/><Relationship Id="rId62" Type="http://schemas.openxmlformats.org/officeDocument/2006/relationships/hyperlink" Target="https://www.youtube.com/watch?v=02xxeSIBfuA" TargetMode="External"/><Relationship Id="rId70" Type="http://schemas.openxmlformats.org/officeDocument/2006/relationships/hyperlink" Target="https://h1/" TargetMode="External"/><Relationship Id="rId75" Type="http://schemas.openxmlformats.org/officeDocument/2006/relationships/hyperlink" Target="https://www.youtube.com/watch?v=Tb-MXz3eWBw" TargetMode="External"/><Relationship Id="rId83" Type="http://schemas.openxmlformats.org/officeDocument/2006/relationships/hyperlink" Target="https://www.youtube.com/watch?v=0IvG-_9x5f4" TargetMode="External"/><Relationship Id="rId88" Type="http://schemas.openxmlformats.org/officeDocument/2006/relationships/hyperlink" Target="https://www.youtube.com/watch?v=PZ4gtPrQXAE" TargetMode="External"/><Relationship Id="rId91" Type="http://schemas.openxmlformats.org/officeDocument/2006/relationships/hyperlink" Target="https://www.youtube.com/watch?v=qpiYD5UnFa4" TargetMode="External"/><Relationship Id="rId96" Type="http://schemas.openxmlformats.org/officeDocument/2006/relationships/hyperlink" Target="https://www.youtube.com/watch?v=xrIQX69Ua9U" TargetMode="External"/><Relationship Id="rId1" Type="http://schemas.openxmlformats.org/officeDocument/2006/relationships/hyperlink" Target="https://www.youtube.com/watch?v=aRCQcy8o-xA" TargetMode="External"/><Relationship Id="rId6" Type="http://schemas.openxmlformats.org/officeDocument/2006/relationships/hyperlink" Target="https://www.youtube.com/watch?v=mIeanN8xfH4" TargetMode="External"/><Relationship Id="rId15" Type="http://schemas.openxmlformats.org/officeDocument/2006/relationships/hyperlink" Target="https://www.youtube.com/watch?v=Hccmfk_D_Zg" TargetMode="External"/><Relationship Id="rId23" Type="http://schemas.openxmlformats.org/officeDocument/2006/relationships/hyperlink" Target="https://www.youtube.com/watch?v=wcnTT6usKm8" TargetMode="External"/><Relationship Id="rId28" Type="http://schemas.openxmlformats.org/officeDocument/2006/relationships/hyperlink" Target="https://www.youtube.com/watch?v=cfB9lHK5E3w" TargetMode="External"/><Relationship Id="rId36" Type="http://schemas.openxmlformats.org/officeDocument/2006/relationships/hyperlink" Target="https://www.youtube.com/watch?v=vOmy4qHLjT0" TargetMode="External"/><Relationship Id="rId49" Type="http://schemas.openxmlformats.org/officeDocument/2006/relationships/hyperlink" Target="https://www.youtube.com/watch?v=ashEiCEpYPQ" TargetMode="External"/><Relationship Id="rId57" Type="http://schemas.openxmlformats.org/officeDocument/2006/relationships/hyperlink" Target="https://www.youtube.com/watch?v=Qk1syQNFBkk" TargetMode="External"/><Relationship Id="rId10" Type="http://schemas.openxmlformats.org/officeDocument/2006/relationships/hyperlink" Target="https://www.youtube.com/watch?v=wz1EkrYf3Fs" TargetMode="External"/><Relationship Id="rId31" Type="http://schemas.openxmlformats.org/officeDocument/2006/relationships/hyperlink" Target="https://www.youtube.com/watch?v=ZsRDpCQIw00" TargetMode="External"/><Relationship Id="rId44" Type="http://schemas.openxmlformats.org/officeDocument/2006/relationships/hyperlink" Target="http://3.4.9.2/" TargetMode="External"/><Relationship Id="rId52" Type="http://schemas.openxmlformats.org/officeDocument/2006/relationships/hyperlink" Target="https://www.youtube.com/watch?v=7mi0xnXWass" TargetMode="External"/><Relationship Id="rId60" Type="http://schemas.openxmlformats.org/officeDocument/2006/relationships/hyperlink" Target="https://www.youtube.com/watch?v=iG5Ds-XUhog" TargetMode="External"/><Relationship Id="rId65" Type="http://schemas.openxmlformats.org/officeDocument/2006/relationships/hyperlink" Target="https://www.youtube.com/watch?v=7LBPenE9P8E" TargetMode="External"/><Relationship Id="rId73" Type="http://schemas.openxmlformats.org/officeDocument/2006/relationships/hyperlink" Target="https://www.youtube.com/watch?v=P3Ck9Wi-vG0" TargetMode="External"/><Relationship Id="rId78" Type="http://schemas.openxmlformats.org/officeDocument/2006/relationships/hyperlink" Target="https://www.youtube.com/watch?v=dlwcBaLxc1s" TargetMode="External"/><Relationship Id="rId81" Type="http://schemas.openxmlformats.org/officeDocument/2006/relationships/hyperlink" Target="https://www.youtube.com/watch?v=iIs3nEGIVz4" TargetMode="External"/><Relationship Id="rId86" Type="http://schemas.openxmlformats.org/officeDocument/2006/relationships/hyperlink" Target="https://www.youtube.com/watch?v=tu60APogjD0" TargetMode="External"/><Relationship Id="rId94" Type="http://schemas.openxmlformats.org/officeDocument/2006/relationships/hyperlink" Target="https://www.youtube.com/watch?v=UdhCkIUzXLA" TargetMode="External"/><Relationship Id="rId99" Type="http://schemas.openxmlformats.org/officeDocument/2006/relationships/hyperlink" Target="https://www.youtube.com/watch?v=XVQPw4eshBE" TargetMode="External"/><Relationship Id="rId101" Type="http://schemas.openxmlformats.org/officeDocument/2006/relationships/hyperlink" Target="https://www.youtube.com/watch?v=x6cvrslUzr0" TargetMode="External"/><Relationship Id="rId4" Type="http://schemas.openxmlformats.org/officeDocument/2006/relationships/hyperlink" Target="https://www.youtube.com/watch?v=hwx-JaRX2Yk" TargetMode="External"/><Relationship Id="rId9" Type="http://schemas.openxmlformats.org/officeDocument/2006/relationships/hyperlink" Target="https://www.youtube.com/watch?v=Zn56LE65b8w" TargetMode="External"/><Relationship Id="rId13" Type="http://schemas.openxmlformats.org/officeDocument/2006/relationships/hyperlink" Target="https://www.youtube.com/watch?v=wvlgaiNAuic" TargetMode="External"/><Relationship Id="rId18" Type="http://schemas.openxmlformats.org/officeDocument/2006/relationships/hyperlink" Target="https://www.youtube.com/watch?v=kIcQlCFRm98" TargetMode="External"/><Relationship Id="rId39" Type="http://schemas.openxmlformats.org/officeDocument/2006/relationships/hyperlink" Target="https://www.youtube.com/watch?v=RejlWzQfyd8" TargetMode="External"/><Relationship Id="rId34" Type="http://schemas.openxmlformats.org/officeDocument/2006/relationships/hyperlink" Target="https://www.youtube.com/watch?v=dDVDw_cqR2U" TargetMode="External"/><Relationship Id="rId50" Type="http://schemas.openxmlformats.org/officeDocument/2006/relationships/hyperlink" Target="https://www.youtube.com/watch?v=ashEiCEpYPQ" TargetMode="External"/><Relationship Id="rId55" Type="http://schemas.openxmlformats.org/officeDocument/2006/relationships/hyperlink" Target="https://www.youtube.com/watch?v=JGI1kCHX_y4" TargetMode="External"/><Relationship Id="rId76" Type="http://schemas.openxmlformats.org/officeDocument/2006/relationships/hyperlink" Target="https://h1/" TargetMode="External"/><Relationship Id="rId97" Type="http://schemas.openxmlformats.org/officeDocument/2006/relationships/hyperlink" Target="https://www.youtube.com/watch?v=6Dtk41heBVU" TargetMode="External"/><Relationship Id="rId7" Type="http://schemas.openxmlformats.org/officeDocument/2006/relationships/hyperlink" Target="https://www.youtube.com/watch?v=0OzeWqF-AhY" TargetMode="External"/><Relationship Id="rId71" Type="http://schemas.openxmlformats.org/officeDocument/2006/relationships/hyperlink" Target="https://www.youtube.com/watch?v=BbbwM1nmfJU" TargetMode="External"/><Relationship Id="rId92" Type="http://schemas.openxmlformats.org/officeDocument/2006/relationships/hyperlink" Target="https://www.youtube.com/watch?v=rnypIDwKaHU" TargetMode="External"/><Relationship Id="rId2" Type="http://schemas.openxmlformats.org/officeDocument/2006/relationships/hyperlink" Target="https://www.youtube.com/watch?v=aRCQcy8o-xA" TargetMode="External"/><Relationship Id="rId29" Type="http://schemas.openxmlformats.org/officeDocument/2006/relationships/hyperlink" Target="https://www.youtube.com/watch?v=j05_OKe5feo" TargetMode="External"/><Relationship Id="rId24" Type="http://schemas.openxmlformats.org/officeDocument/2006/relationships/hyperlink" Target="https://www.youtube.com/watch?v=0FoeP-UG0Wc" TargetMode="External"/><Relationship Id="rId40" Type="http://schemas.openxmlformats.org/officeDocument/2006/relationships/hyperlink" Target="http://3.4.1.1/" TargetMode="External"/><Relationship Id="rId45" Type="http://schemas.openxmlformats.org/officeDocument/2006/relationships/hyperlink" Target="https://www.youtube.com/watch?v=EDh8TaLUDZo" TargetMode="External"/><Relationship Id="rId66" Type="http://schemas.openxmlformats.org/officeDocument/2006/relationships/hyperlink" Target="https://www.youtube.com/watch?v=PT1uLnZ4mk8" TargetMode="External"/><Relationship Id="rId87" Type="http://schemas.openxmlformats.org/officeDocument/2006/relationships/hyperlink" Target="https://www.youtube.com/watch?v=nL_68vtrFZY" TargetMode="External"/><Relationship Id="rId61" Type="http://schemas.openxmlformats.org/officeDocument/2006/relationships/hyperlink" Target="https://www.youtube.com/watch?v=4ymk1MR1PD4" TargetMode="External"/><Relationship Id="rId82" Type="http://schemas.openxmlformats.org/officeDocument/2006/relationships/hyperlink" Target="https://www.youtube.com/watch?v=Lxar3bTRTH4" TargetMode="External"/><Relationship Id="rId19" Type="http://schemas.openxmlformats.org/officeDocument/2006/relationships/hyperlink" Target="https://www.youtube.com/watch?v=sJb6BxJ7Mg4" TargetMode="External"/><Relationship Id="rId14" Type="http://schemas.openxmlformats.org/officeDocument/2006/relationships/hyperlink" Target="https://www.youtube.com/watch?v=XUXikdynlU8" TargetMode="External"/><Relationship Id="rId30" Type="http://schemas.openxmlformats.org/officeDocument/2006/relationships/hyperlink" Target="https://www.youtube.com/watch?v=9oWeD-kx6EM" TargetMode="External"/><Relationship Id="rId35" Type="http://schemas.openxmlformats.org/officeDocument/2006/relationships/hyperlink" Target="http://3.2.9.4/" TargetMode="External"/><Relationship Id="rId56" Type="http://schemas.openxmlformats.org/officeDocument/2006/relationships/hyperlink" Target="https://h1/" TargetMode="External"/><Relationship Id="rId77" Type="http://schemas.openxmlformats.org/officeDocument/2006/relationships/hyperlink" Target="https://www.youtube.com/watch?v=NkHsSRhpFBA" TargetMode="External"/><Relationship Id="rId100" Type="http://schemas.openxmlformats.org/officeDocument/2006/relationships/hyperlink" Target="https://www.youtube.com/watch?v=PF9qu0Z-Rog" TargetMode="External"/><Relationship Id="rId8" Type="http://schemas.openxmlformats.org/officeDocument/2006/relationships/hyperlink" Target="https://www.youtube.com/watch?v=lD0HsYpJSPM" TargetMode="External"/><Relationship Id="rId51" Type="http://schemas.openxmlformats.org/officeDocument/2006/relationships/hyperlink" Target="https://h1/" TargetMode="External"/><Relationship Id="rId72" Type="http://schemas.openxmlformats.org/officeDocument/2006/relationships/hyperlink" Target="https://h1/" TargetMode="External"/><Relationship Id="rId93" Type="http://schemas.openxmlformats.org/officeDocument/2006/relationships/hyperlink" Target="https://www.youtube.com/watch?v=rmg81CDC2z0" TargetMode="External"/><Relationship Id="rId98" Type="http://schemas.openxmlformats.org/officeDocument/2006/relationships/hyperlink" Target="https://www.youtube.com/watch?v=POsXjM1rGoI" TargetMode="External"/><Relationship Id="rId3" Type="http://schemas.openxmlformats.org/officeDocument/2006/relationships/hyperlink" Target="https://www.youtube.com/watch?v=fwQugM1P_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31EB-6DA1-49D6-806D-DBCDCA4322F7}">
  <dimension ref="A4:J913"/>
  <sheetViews>
    <sheetView tabSelected="1" topLeftCell="A4" workbookViewId="0">
      <pane ySplit="1" topLeftCell="A904" activePane="bottomLeft" state="frozen"/>
      <selection activeCell="A4" sqref="A4"/>
      <selection pane="bottomLeft" activeCell="E863" sqref="E863"/>
    </sheetView>
  </sheetViews>
  <sheetFormatPr defaultRowHeight="18" x14ac:dyDescent="0.25"/>
  <cols>
    <col min="1" max="1" width="9.140625" style="2"/>
    <col min="2" max="2" width="15.7109375" style="1" bestFit="1" customWidth="1"/>
    <col min="3" max="3" width="13.7109375" style="1" bestFit="1" customWidth="1"/>
    <col min="4" max="4" width="14" style="1" bestFit="1" customWidth="1"/>
    <col min="5" max="5" width="12.7109375" style="1" customWidth="1"/>
    <col min="6" max="7" width="10.7109375" style="3" bestFit="1" customWidth="1"/>
    <col min="8" max="8" width="14.5703125" style="1" bestFit="1" customWidth="1"/>
    <col min="9" max="9" width="86.42578125" style="1" hidden="1" customWidth="1"/>
    <col min="10" max="10" width="63.5703125" style="1" bestFit="1" customWidth="1"/>
    <col min="11" max="16384" width="9.140625" style="1"/>
  </cols>
  <sheetData>
    <row r="4" spans="1:10" x14ac:dyDescent="0.25">
      <c r="A4" s="21" t="s">
        <v>15</v>
      </c>
      <c r="B4" s="21"/>
      <c r="C4" s="56"/>
      <c r="D4" s="95" t="s">
        <v>6</v>
      </c>
      <c r="E4" s="95" t="s">
        <v>38</v>
      </c>
      <c r="F4" s="96" t="s">
        <v>3</v>
      </c>
      <c r="G4" s="97" t="s">
        <v>4</v>
      </c>
      <c r="H4" s="56" t="s">
        <v>13</v>
      </c>
      <c r="I4" s="95" t="s">
        <v>14</v>
      </c>
      <c r="J4" s="526"/>
    </row>
    <row r="5" spans="1:10" x14ac:dyDescent="0.25">
      <c r="A5" s="22" t="s">
        <v>16</v>
      </c>
      <c r="B5" s="22" t="s">
        <v>0</v>
      </c>
      <c r="C5" s="57" t="s">
        <v>1</v>
      </c>
      <c r="D5" s="4" t="s">
        <v>12</v>
      </c>
      <c r="E5" s="4" t="s">
        <v>5</v>
      </c>
      <c r="F5" s="5" t="s">
        <v>7</v>
      </c>
      <c r="G5" s="98" t="s">
        <v>7</v>
      </c>
      <c r="H5" s="57"/>
      <c r="J5" s="527"/>
    </row>
    <row r="6" spans="1:10" x14ac:dyDescent="0.25">
      <c r="A6" s="23"/>
      <c r="B6" s="295"/>
      <c r="C6" s="296"/>
      <c r="D6" s="297"/>
      <c r="E6" s="297"/>
      <c r="F6" s="298"/>
      <c r="G6" s="299"/>
      <c r="H6" s="296"/>
      <c r="I6" s="521"/>
      <c r="J6" s="528"/>
    </row>
    <row r="7" spans="1:10" x14ac:dyDescent="0.25">
      <c r="A7" s="24">
        <v>1</v>
      </c>
      <c r="B7" s="300">
        <v>44020</v>
      </c>
      <c r="C7" s="301">
        <v>34.270000000000003</v>
      </c>
      <c r="D7" s="302">
        <v>1</v>
      </c>
      <c r="E7" s="302" t="s">
        <v>2</v>
      </c>
      <c r="F7" s="303">
        <v>5.0199999999999996</v>
      </c>
      <c r="G7" s="304">
        <v>8.44</v>
      </c>
      <c r="H7" s="301"/>
      <c r="I7" s="522" t="s">
        <v>988</v>
      </c>
      <c r="J7" s="524" t="str">
        <f>HYPERLINK("https://www.youtube.com/watch?v=aRCQcy8o-xA", "https://www.youtube.com/watch?v=aRCQcy8o-xA")</f>
        <v>https://www.youtube.com/watch?v=aRCQcy8o-xA</v>
      </c>
    </row>
    <row r="8" spans="1:10" x14ac:dyDescent="0.25">
      <c r="A8" s="7"/>
      <c r="B8" s="7"/>
      <c r="C8" s="58"/>
      <c r="D8" s="2">
        <v>2</v>
      </c>
      <c r="E8" s="2" t="s">
        <v>8</v>
      </c>
      <c r="F8" s="99">
        <v>8.44</v>
      </c>
      <c r="G8" s="62">
        <v>14.48</v>
      </c>
      <c r="H8" s="58"/>
      <c r="I8" s="523"/>
      <c r="J8" s="525"/>
    </row>
    <row r="9" spans="1:10" x14ac:dyDescent="0.25">
      <c r="A9" s="7"/>
      <c r="B9" s="7"/>
      <c r="C9" s="58"/>
      <c r="D9" s="2">
        <v>3</v>
      </c>
      <c r="E9" s="2" t="s">
        <v>9</v>
      </c>
      <c r="F9" s="99">
        <v>14.48</v>
      </c>
      <c r="G9" s="62">
        <v>19.16</v>
      </c>
      <c r="H9" s="58"/>
      <c r="I9" s="523"/>
      <c r="J9" s="525"/>
    </row>
    <row r="10" spans="1:10" x14ac:dyDescent="0.25">
      <c r="A10" s="7"/>
      <c r="B10" s="7"/>
      <c r="C10" s="58"/>
      <c r="D10" s="2">
        <v>4</v>
      </c>
      <c r="E10" s="2" t="s">
        <v>10</v>
      </c>
      <c r="F10" s="99">
        <v>19.16</v>
      </c>
      <c r="G10" s="62">
        <v>26.04</v>
      </c>
      <c r="H10" s="58"/>
      <c r="I10" s="523"/>
      <c r="J10" s="525"/>
    </row>
    <row r="11" spans="1:10" x14ac:dyDescent="0.25">
      <c r="A11" s="20"/>
      <c r="B11" s="20"/>
      <c r="C11" s="305"/>
      <c r="D11" s="306">
        <v>5</v>
      </c>
      <c r="E11" s="306" t="s">
        <v>11</v>
      </c>
      <c r="F11" s="307">
        <v>26.04</v>
      </c>
      <c r="G11" s="308">
        <v>33.380000000000003</v>
      </c>
      <c r="H11" s="309"/>
      <c r="I11" s="523" t="s">
        <v>989</v>
      </c>
      <c r="J11" s="525"/>
    </row>
    <row r="12" spans="1:10" x14ac:dyDescent="0.25">
      <c r="A12" s="7"/>
      <c r="B12" s="7"/>
      <c r="C12" s="58"/>
      <c r="D12" s="2"/>
      <c r="E12" s="2"/>
      <c r="F12" s="99"/>
      <c r="G12" s="62"/>
      <c r="H12" s="58"/>
      <c r="I12" s="523"/>
      <c r="J12" s="525"/>
    </row>
    <row r="13" spans="1:10" x14ac:dyDescent="0.25">
      <c r="A13" s="7">
        <v>2</v>
      </c>
      <c r="B13" s="25">
        <v>44021</v>
      </c>
      <c r="C13" s="58">
        <v>56.45</v>
      </c>
      <c r="D13" s="2">
        <v>1</v>
      </c>
      <c r="E13" s="2" t="s">
        <v>17</v>
      </c>
      <c r="F13" s="99">
        <v>2.5</v>
      </c>
      <c r="G13" s="62">
        <v>7.39</v>
      </c>
      <c r="H13" s="58"/>
      <c r="I13" s="523" t="s">
        <v>990</v>
      </c>
      <c r="J13" s="525" t="str">
        <f>HYPERLINK("https://www.youtube.com/watch?v=WtFOAPAOdjg", "https://www.youtube.com/watch?v=WtFOAPAOdjg")</f>
        <v>https://www.youtube.com/watch?v=WtFOAPAOdjg</v>
      </c>
    </row>
    <row r="14" spans="1:10" x14ac:dyDescent="0.25">
      <c r="A14" s="7"/>
      <c r="B14" s="7"/>
      <c r="C14" s="58"/>
      <c r="D14" s="2">
        <v>2</v>
      </c>
      <c r="E14" s="2" t="s">
        <v>18</v>
      </c>
      <c r="F14" s="99">
        <v>7.39</v>
      </c>
      <c r="G14" s="62">
        <v>14.3</v>
      </c>
      <c r="H14" s="58"/>
      <c r="I14" s="523"/>
      <c r="J14" s="525"/>
    </row>
    <row r="15" spans="1:10" x14ac:dyDescent="0.25">
      <c r="A15" s="7"/>
      <c r="B15" s="7"/>
      <c r="C15" s="58"/>
      <c r="D15" s="2">
        <v>3</v>
      </c>
      <c r="E15" s="2" t="s">
        <v>19</v>
      </c>
      <c r="F15" s="99">
        <v>14.3</v>
      </c>
      <c r="G15" s="62">
        <v>19.52</v>
      </c>
      <c r="H15" s="58"/>
      <c r="I15" s="523"/>
      <c r="J15" s="525"/>
    </row>
    <row r="16" spans="1:10" x14ac:dyDescent="0.25">
      <c r="A16" s="7"/>
      <c r="B16" s="7"/>
      <c r="C16" s="58"/>
      <c r="D16" s="2">
        <v>4</v>
      </c>
      <c r="E16" s="2" t="s">
        <v>20</v>
      </c>
      <c r="F16" s="99">
        <v>19.52</v>
      </c>
      <c r="G16" s="62">
        <v>30.56</v>
      </c>
      <c r="H16" s="247"/>
      <c r="I16" s="523"/>
      <c r="J16" s="525"/>
    </row>
    <row r="17" spans="1:10" x14ac:dyDescent="0.25">
      <c r="A17" s="7"/>
      <c r="B17" s="7"/>
      <c r="C17" s="58"/>
      <c r="D17" s="2">
        <v>5</v>
      </c>
      <c r="E17" s="2" t="s">
        <v>21</v>
      </c>
      <c r="F17" s="99">
        <v>30.56</v>
      </c>
      <c r="G17" s="62">
        <v>43.12</v>
      </c>
      <c r="H17" s="59"/>
      <c r="I17" s="523"/>
      <c r="J17" s="525"/>
    </row>
    <row r="18" spans="1:10" x14ac:dyDescent="0.25">
      <c r="A18" s="20"/>
      <c r="B18" s="20"/>
      <c r="C18" s="305"/>
      <c r="D18" s="306">
        <v>6</v>
      </c>
      <c r="E18" s="306" t="s">
        <v>22</v>
      </c>
      <c r="F18" s="307">
        <v>43.12</v>
      </c>
      <c r="G18" s="308">
        <v>52.12</v>
      </c>
      <c r="H18" s="305"/>
      <c r="I18" s="523"/>
      <c r="J18" s="525"/>
    </row>
    <row r="19" spans="1:10" x14ac:dyDescent="0.25">
      <c r="A19" s="7"/>
      <c r="B19" s="7"/>
      <c r="C19" s="58"/>
      <c r="D19" s="2"/>
      <c r="E19" s="2"/>
      <c r="F19" s="99"/>
      <c r="G19" s="62"/>
      <c r="H19" s="58"/>
      <c r="I19" s="523"/>
      <c r="J19" s="525"/>
    </row>
    <row r="20" spans="1:10" x14ac:dyDescent="0.25">
      <c r="A20" s="7">
        <v>3</v>
      </c>
      <c r="B20" s="25">
        <v>44022</v>
      </c>
      <c r="C20" s="58">
        <v>50.05</v>
      </c>
      <c r="D20" s="2">
        <v>1</v>
      </c>
      <c r="E20" s="2" t="s">
        <v>23</v>
      </c>
      <c r="F20" s="99">
        <v>1.36</v>
      </c>
      <c r="G20" s="62">
        <v>6.06</v>
      </c>
      <c r="H20" s="58"/>
      <c r="I20" s="523" t="s">
        <v>991</v>
      </c>
      <c r="J20" s="525" t="str">
        <f>HYPERLINK("https://www.youtube.com/watch?v=TtkFmQy91YY", "https://www.youtube.com/watch?v=TtkFmQy91YY")</f>
        <v>https://www.youtube.com/watch?v=TtkFmQy91YY</v>
      </c>
    </row>
    <row r="21" spans="1:10" x14ac:dyDescent="0.25">
      <c r="A21" s="7"/>
      <c r="B21" s="7"/>
      <c r="C21" s="58"/>
      <c r="D21" s="2">
        <v>2</v>
      </c>
      <c r="E21" s="2" t="s">
        <v>24</v>
      </c>
      <c r="F21" s="99">
        <f>+G20</f>
        <v>6.06</v>
      </c>
      <c r="G21" s="62">
        <v>16.29</v>
      </c>
      <c r="H21" s="59"/>
      <c r="I21" s="523"/>
      <c r="J21" s="525"/>
    </row>
    <row r="22" spans="1:10" x14ac:dyDescent="0.25">
      <c r="A22" s="7"/>
      <c r="B22" s="7"/>
      <c r="C22" s="58"/>
      <c r="D22" s="2">
        <v>3</v>
      </c>
      <c r="E22" s="2" t="s">
        <v>25</v>
      </c>
      <c r="F22" s="99">
        <f>+G21</f>
        <v>16.29</v>
      </c>
      <c r="G22" s="62">
        <v>29.49</v>
      </c>
      <c r="H22" s="248"/>
      <c r="I22" s="523"/>
      <c r="J22" s="525"/>
    </row>
    <row r="23" spans="1:10" x14ac:dyDescent="0.25">
      <c r="A23" s="7"/>
      <c r="B23" s="7"/>
      <c r="C23" s="58"/>
      <c r="D23" s="2">
        <v>4</v>
      </c>
      <c r="E23" s="2" t="s">
        <v>26</v>
      </c>
      <c r="F23" s="99">
        <f>+G22</f>
        <v>29.49</v>
      </c>
      <c r="G23" s="62">
        <v>36.57</v>
      </c>
      <c r="H23" s="58"/>
      <c r="I23" s="523"/>
      <c r="J23" s="525"/>
    </row>
    <row r="24" spans="1:10" x14ac:dyDescent="0.25">
      <c r="A24" s="7"/>
      <c r="B24" s="7"/>
      <c r="C24" s="58"/>
      <c r="D24" s="2">
        <v>5</v>
      </c>
      <c r="E24" s="2" t="s">
        <v>27</v>
      </c>
      <c r="F24" s="99">
        <f>+G23</f>
        <v>36.57</v>
      </c>
      <c r="G24" s="62">
        <v>45.53</v>
      </c>
      <c r="H24" s="58"/>
      <c r="I24" s="523"/>
      <c r="J24" s="525"/>
    </row>
    <row r="25" spans="1:10" x14ac:dyDescent="0.25">
      <c r="A25" s="20"/>
      <c r="B25" s="20"/>
      <c r="C25" s="305"/>
      <c r="D25" s="306">
        <v>6</v>
      </c>
      <c r="E25" s="306" t="s">
        <v>28</v>
      </c>
      <c r="F25" s="307">
        <f>+G24</f>
        <v>45.53</v>
      </c>
      <c r="G25" s="308">
        <v>49.18</v>
      </c>
      <c r="H25" s="310" t="s">
        <v>28</v>
      </c>
      <c r="I25" s="523"/>
      <c r="J25" s="525"/>
    </row>
    <row r="26" spans="1:10" x14ac:dyDescent="0.25">
      <c r="A26" s="7"/>
      <c r="B26" s="7"/>
      <c r="C26" s="58"/>
      <c r="D26" s="2"/>
      <c r="E26" s="2"/>
      <c r="F26" s="99"/>
      <c r="G26" s="62"/>
      <c r="H26" s="58"/>
      <c r="I26" s="523"/>
      <c r="J26" s="525"/>
    </row>
    <row r="27" spans="1:10" x14ac:dyDescent="0.25">
      <c r="A27" s="7">
        <v>3</v>
      </c>
      <c r="B27" s="25">
        <v>44023</v>
      </c>
      <c r="C27" s="58"/>
      <c r="D27" s="2">
        <v>1</v>
      </c>
      <c r="E27" s="2" t="s">
        <v>29</v>
      </c>
      <c r="F27" s="99">
        <v>5</v>
      </c>
      <c r="G27" s="62">
        <v>12.23</v>
      </c>
      <c r="H27" s="58"/>
      <c r="I27" s="523" t="s">
        <v>992</v>
      </c>
      <c r="J27" s="525" t="str">
        <f>HYPERLINK("https://www.youtube.com/watch?v=CcCr52yaBxY", "https://www.youtube.com/watch?v=CcCr52yaBxY")</f>
        <v>https://www.youtube.com/watch?v=CcCr52yaBxY</v>
      </c>
    </row>
    <row r="28" spans="1:10" x14ac:dyDescent="0.25">
      <c r="A28" s="7"/>
      <c r="B28" s="7"/>
      <c r="C28" s="58"/>
      <c r="D28" s="2">
        <f>+D27+1</f>
        <v>2</v>
      </c>
      <c r="E28" s="2" t="s">
        <v>31</v>
      </c>
      <c r="F28" s="99">
        <f>+G27</f>
        <v>12.23</v>
      </c>
      <c r="G28" s="62">
        <v>18.510000000000002</v>
      </c>
      <c r="H28" s="58"/>
      <c r="I28" s="523"/>
      <c r="J28" s="525"/>
    </row>
    <row r="29" spans="1:10" x14ac:dyDescent="0.25">
      <c r="A29" s="7"/>
      <c r="B29" s="7"/>
      <c r="C29" s="58"/>
      <c r="D29" s="2">
        <f t="shared" ref="D29:D34" si="0">+D28+1</f>
        <v>3</v>
      </c>
      <c r="E29" s="2" t="s">
        <v>32</v>
      </c>
      <c r="F29" s="99">
        <f t="shared" ref="F29:F34" si="1">+G28</f>
        <v>18.510000000000002</v>
      </c>
      <c r="G29" s="62">
        <v>23.47</v>
      </c>
      <c r="H29" s="58"/>
      <c r="I29" s="523"/>
      <c r="J29" s="525"/>
    </row>
    <row r="30" spans="1:10" x14ac:dyDescent="0.25">
      <c r="A30" s="7"/>
      <c r="B30" s="7"/>
      <c r="C30" s="58"/>
      <c r="D30" s="2">
        <f t="shared" si="0"/>
        <v>4</v>
      </c>
      <c r="E30" s="2" t="s">
        <v>33</v>
      </c>
      <c r="F30" s="99">
        <f t="shared" si="1"/>
        <v>23.47</v>
      </c>
      <c r="G30" s="62">
        <v>27.34</v>
      </c>
      <c r="H30" s="58" t="s">
        <v>30</v>
      </c>
      <c r="I30" s="523"/>
      <c r="J30" s="525"/>
    </row>
    <row r="31" spans="1:10" x14ac:dyDescent="0.25">
      <c r="A31" s="7"/>
      <c r="B31" s="7"/>
      <c r="C31" s="58"/>
      <c r="D31" s="2">
        <f t="shared" si="0"/>
        <v>5</v>
      </c>
      <c r="E31" s="2" t="s">
        <v>34</v>
      </c>
      <c r="F31" s="99">
        <v>28.52</v>
      </c>
      <c r="G31" s="62">
        <v>34.01</v>
      </c>
      <c r="H31" s="59"/>
      <c r="I31" s="523"/>
      <c r="J31" s="525"/>
    </row>
    <row r="32" spans="1:10" x14ac:dyDescent="0.25">
      <c r="A32" s="7"/>
      <c r="B32" s="7"/>
      <c r="C32" s="58"/>
      <c r="D32" s="2">
        <f t="shared" si="0"/>
        <v>6</v>
      </c>
      <c r="E32" s="2" t="s">
        <v>35</v>
      </c>
      <c r="F32" s="99">
        <f t="shared" si="1"/>
        <v>34.01</v>
      </c>
      <c r="G32" s="62">
        <v>39.36</v>
      </c>
      <c r="H32" s="58"/>
      <c r="I32" s="523"/>
      <c r="J32" s="525"/>
    </row>
    <row r="33" spans="1:10" x14ac:dyDescent="0.25">
      <c r="A33" s="7"/>
      <c r="B33" s="7"/>
      <c r="C33" s="58"/>
      <c r="D33" s="2">
        <f>+D32+1</f>
        <v>7</v>
      </c>
      <c r="E33" s="2" t="s">
        <v>36</v>
      </c>
      <c r="F33" s="99">
        <f t="shared" si="1"/>
        <v>39.36</v>
      </c>
      <c r="G33" s="62">
        <v>44.39</v>
      </c>
      <c r="H33" s="58"/>
      <c r="I33" s="523"/>
      <c r="J33" s="525"/>
    </row>
    <row r="34" spans="1:10" x14ac:dyDescent="0.25">
      <c r="A34" s="20"/>
      <c r="B34" s="20"/>
      <c r="C34" s="305"/>
      <c r="D34" s="306">
        <f t="shared" si="0"/>
        <v>8</v>
      </c>
      <c r="E34" s="306" t="s">
        <v>37</v>
      </c>
      <c r="F34" s="307">
        <f t="shared" si="1"/>
        <v>44.39</v>
      </c>
      <c r="G34" s="308">
        <v>51.52</v>
      </c>
      <c r="H34" s="94"/>
      <c r="I34" s="523"/>
      <c r="J34" s="525"/>
    </row>
    <row r="35" spans="1:10" x14ac:dyDescent="0.25">
      <c r="A35" s="7"/>
      <c r="B35" s="7"/>
      <c r="C35" s="58"/>
      <c r="D35" s="2"/>
      <c r="E35" s="2"/>
      <c r="F35" s="99"/>
      <c r="G35" s="62"/>
      <c r="H35" s="58"/>
      <c r="I35" s="523"/>
      <c r="J35" s="525"/>
    </row>
    <row r="36" spans="1:10" x14ac:dyDescent="0.25">
      <c r="A36" s="7">
        <v>4</v>
      </c>
      <c r="B36" s="25">
        <v>44024</v>
      </c>
      <c r="C36" s="58">
        <v>55.25</v>
      </c>
      <c r="D36" s="2">
        <v>1</v>
      </c>
      <c r="E36" s="2" t="s">
        <v>39</v>
      </c>
      <c r="F36" s="99">
        <v>7.33</v>
      </c>
      <c r="G36" s="62">
        <v>13.1</v>
      </c>
      <c r="H36" s="58"/>
      <c r="I36" s="523" t="s">
        <v>993</v>
      </c>
      <c r="J36" s="525" t="str">
        <f>HYPERLINK("https://www.youtube.com/watch?v=4CipAIdR0nU", "https://www.youtube.com/watch?v=4CipAIdR0nU")</f>
        <v>https://www.youtube.com/watch?v=4CipAIdR0nU</v>
      </c>
    </row>
    <row r="37" spans="1:10" x14ac:dyDescent="0.25">
      <c r="A37" s="7"/>
      <c r="B37" s="7"/>
      <c r="C37" s="58"/>
      <c r="D37" s="2">
        <f>+D36+1</f>
        <v>2</v>
      </c>
      <c r="E37" s="2" t="s">
        <v>40</v>
      </c>
      <c r="F37" s="99">
        <f>+G36</f>
        <v>13.1</v>
      </c>
      <c r="G37" s="62">
        <v>23.04</v>
      </c>
      <c r="H37" s="58"/>
      <c r="I37" s="523"/>
      <c r="J37" s="525"/>
    </row>
    <row r="38" spans="1:10" x14ac:dyDescent="0.25">
      <c r="A38" s="7"/>
      <c r="B38" s="7"/>
      <c r="C38" s="58"/>
      <c r="D38" s="2">
        <f>+D37+1</f>
        <v>3</v>
      </c>
      <c r="E38" s="2" t="s">
        <v>41</v>
      </c>
      <c r="F38" s="99">
        <f>+G37</f>
        <v>23.04</v>
      </c>
      <c r="G38" s="62">
        <v>32.42</v>
      </c>
      <c r="H38" s="58"/>
      <c r="I38" s="523"/>
      <c r="J38" s="525"/>
    </row>
    <row r="39" spans="1:10" x14ac:dyDescent="0.25">
      <c r="A39" s="20"/>
      <c r="B39" s="20"/>
      <c r="C39" s="305"/>
      <c r="D39" s="306">
        <f>+D38+1</f>
        <v>4</v>
      </c>
      <c r="E39" s="311" t="s">
        <v>733</v>
      </c>
      <c r="F39" s="307">
        <f>+G38</f>
        <v>32.42</v>
      </c>
      <c r="G39" s="308">
        <v>51.4</v>
      </c>
      <c r="H39" s="312" t="s">
        <v>42</v>
      </c>
      <c r="I39" s="523"/>
      <c r="J39" s="525"/>
    </row>
    <row r="40" spans="1:10" x14ac:dyDescent="0.25">
      <c r="A40" s="7"/>
      <c r="B40" s="7"/>
      <c r="C40" s="58"/>
      <c r="D40" s="2"/>
      <c r="E40" s="2"/>
      <c r="F40" s="99"/>
      <c r="G40" s="62"/>
      <c r="H40" s="58"/>
      <c r="I40" s="523"/>
      <c r="J40" s="525"/>
    </row>
    <row r="41" spans="1:10" x14ac:dyDescent="0.25">
      <c r="A41" s="7">
        <v>5</v>
      </c>
      <c r="B41" s="25" t="s">
        <v>43</v>
      </c>
      <c r="C41" s="58">
        <v>58.07</v>
      </c>
      <c r="D41" s="2">
        <v>1</v>
      </c>
      <c r="E41" s="2" t="s">
        <v>44</v>
      </c>
      <c r="F41" s="99">
        <v>4.1100000000000003</v>
      </c>
      <c r="G41" s="62">
        <v>7.05</v>
      </c>
      <c r="H41" s="58"/>
      <c r="I41" s="523" t="s">
        <v>994</v>
      </c>
      <c r="J41" s="525" t="str">
        <f>HYPERLINK("https://www.youtube.com/watch?v=LT9kGdY_iUo", "https://www.youtube.com/watch?v=LT9kGdY_iUo")</f>
        <v>https://www.youtube.com/watch?v=LT9kGdY_iUo</v>
      </c>
    </row>
    <row r="42" spans="1:10" x14ac:dyDescent="0.25">
      <c r="A42" s="7"/>
      <c r="B42" s="7"/>
      <c r="C42" s="58"/>
      <c r="D42" s="2">
        <f>+D41+1</f>
        <v>2</v>
      </c>
      <c r="E42" s="2" t="s">
        <v>45</v>
      </c>
      <c r="F42" s="99">
        <f>+G41</f>
        <v>7.05</v>
      </c>
      <c r="G42" s="62">
        <v>15.42</v>
      </c>
      <c r="H42" s="58"/>
      <c r="I42" s="523"/>
      <c r="J42" s="525"/>
    </row>
    <row r="43" spans="1:10" x14ac:dyDescent="0.25">
      <c r="A43" s="7"/>
      <c r="B43" s="7"/>
      <c r="C43" s="58"/>
      <c r="D43" s="2">
        <f t="shared" ref="D43:D48" si="2">+D42+1</f>
        <v>3</v>
      </c>
      <c r="E43" s="2" t="s">
        <v>46</v>
      </c>
      <c r="F43" s="99">
        <f t="shared" ref="F43:F48" si="3">+G42</f>
        <v>15.42</v>
      </c>
      <c r="G43" s="62">
        <v>24.17</v>
      </c>
      <c r="H43" s="58"/>
      <c r="I43" s="523"/>
      <c r="J43" s="525"/>
    </row>
    <row r="44" spans="1:10" x14ac:dyDescent="0.25">
      <c r="A44" s="7"/>
      <c r="B44" s="7"/>
      <c r="C44" s="58"/>
      <c r="D44" s="2">
        <f t="shared" si="2"/>
        <v>4</v>
      </c>
      <c r="E44" s="2" t="s">
        <v>47</v>
      </c>
      <c r="F44" s="99">
        <f t="shared" si="3"/>
        <v>24.17</v>
      </c>
      <c r="G44" s="62">
        <v>27.47</v>
      </c>
      <c r="H44" s="58"/>
      <c r="I44" s="523"/>
      <c r="J44" s="525"/>
    </row>
    <row r="45" spans="1:10" x14ac:dyDescent="0.25">
      <c r="A45" s="7"/>
      <c r="B45" s="7"/>
      <c r="C45" s="58"/>
      <c r="D45" s="2">
        <f t="shared" si="2"/>
        <v>5</v>
      </c>
      <c r="E45" s="2" t="s">
        <v>48</v>
      </c>
      <c r="F45" s="99">
        <f t="shared" si="3"/>
        <v>27.47</v>
      </c>
      <c r="G45" s="62">
        <v>37.08</v>
      </c>
      <c r="H45" s="58"/>
      <c r="I45" s="523"/>
      <c r="J45" s="525"/>
    </row>
    <row r="46" spans="1:10" x14ac:dyDescent="0.25">
      <c r="A46" s="7"/>
      <c r="B46" s="7"/>
      <c r="C46" s="58"/>
      <c r="D46" s="2">
        <f t="shared" si="2"/>
        <v>6</v>
      </c>
      <c r="E46" s="2" t="s">
        <v>49</v>
      </c>
      <c r="F46" s="99">
        <f t="shared" si="3"/>
        <v>37.08</v>
      </c>
      <c r="G46" s="62">
        <v>41.1</v>
      </c>
      <c r="H46" s="58"/>
      <c r="I46" s="523"/>
      <c r="J46" s="525"/>
    </row>
    <row r="47" spans="1:10" x14ac:dyDescent="0.25">
      <c r="A47" s="7"/>
      <c r="B47" s="7"/>
      <c r="C47" s="58"/>
      <c r="D47" s="2">
        <f t="shared" si="2"/>
        <v>7</v>
      </c>
      <c r="E47" s="2" t="s">
        <v>50</v>
      </c>
      <c r="F47" s="99">
        <f t="shared" si="3"/>
        <v>41.1</v>
      </c>
      <c r="G47" s="62">
        <v>49.11</v>
      </c>
      <c r="H47" s="58"/>
      <c r="I47" s="523"/>
      <c r="J47" s="525"/>
    </row>
    <row r="48" spans="1:10" x14ac:dyDescent="0.25">
      <c r="A48" s="7"/>
      <c r="B48" s="7"/>
      <c r="C48" s="58"/>
      <c r="D48" s="2">
        <f t="shared" si="2"/>
        <v>8</v>
      </c>
      <c r="E48" s="2" t="s">
        <v>51</v>
      </c>
      <c r="F48" s="99">
        <f t="shared" si="3"/>
        <v>49.11</v>
      </c>
      <c r="G48" s="62">
        <v>54.26</v>
      </c>
      <c r="H48" s="58"/>
      <c r="I48" s="523"/>
      <c r="J48" s="525"/>
    </row>
    <row r="49" spans="1:10" x14ac:dyDescent="0.25">
      <c r="A49" s="20"/>
      <c r="B49" s="20"/>
      <c r="C49" s="305"/>
      <c r="D49" s="306"/>
      <c r="E49" s="306"/>
      <c r="F49" s="307"/>
      <c r="G49" s="308"/>
      <c r="H49" s="305"/>
      <c r="I49" s="523"/>
      <c r="J49" s="525"/>
    </row>
    <row r="50" spans="1:10" x14ac:dyDescent="0.25">
      <c r="A50" s="7">
        <v>6</v>
      </c>
      <c r="B50" s="7" t="s">
        <v>52</v>
      </c>
      <c r="C50" s="58">
        <v>56.28</v>
      </c>
      <c r="D50" s="2">
        <v>1</v>
      </c>
      <c r="E50" s="2" t="s">
        <v>53</v>
      </c>
      <c r="F50" s="99">
        <v>4.3600000000000003</v>
      </c>
      <c r="G50" s="62">
        <v>11.48</v>
      </c>
      <c r="H50" s="58"/>
      <c r="I50" s="523" t="s">
        <v>995</v>
      </c>
      <c r="J50" s="525" t="str">
        <f>HYPERLINK("https://www.youtube.com/watch?v=hPGh9CKobF8", "https://www.youtube.com/watch?v=hPGh9CKobF8")</f>
        <v>https://www.youtube.com/watch?v=hPGh9CKobF8</v>
      </c>
    </row>
    <row r="51" spans="1:10" x14ac:dyDescent="0.25">
      <c r="A51" s="7"/>
      <c r="B51" s="7"/>
      <c r="C51" s="58"/>
      <c r="D51" s="2">
        <f t="shared" ref="D51:D56" si="4">+D50+1</f>
        <v>2</v>
      </c>
      <c r="E51" s="2" t="s">
        <v>54</v>
      </c>
      <c r="F51" s="99">
        <f t="shared" ref="F51:F56" si="5">+G50</f>
        <v>11.48</v>
      </c>
      <c r="G51" s="62">
        <v>18.12</v>
      </c>
      <c r="H51" s="58"/>
      <c r="I51" s="523"/>
      <c r="J51" s="525"/>
    </row>
    <row r="52" spans="1:10" x14ac:dyDescent="0.25">
      <c r="A52" s="7"/>
      <c r="B52" s="7"/>
      <c r="C52" s="58"/>
      <c r="D52" s="2">
        <f t="shared" si="4"/>
        <v>3</v>
      </c>
      <c r="E52" s="2" t="s">
        <v>55</v>
      </c>
      <c r="F52" s="99">
        <f t="shared" si="5"/>
        <v>18.12</v>
      </c>
      <c r="G52" s="62">
        <v>24.08</v>
      </c>
      <c r="H52" s="58"/>
      <c r="I52" s="523"/>
      <c r="J52" s="525"/>
    </row>
    <row r="53" spans="1:10" x14ac:dyDescent="0.25">
      <c r="A53" s="7"/>
      <c r="B53" s="7"/>
      <c r="C53" s="58"/>
      <c r="D53" s="2">
        <f t="shared" si="4"/>
        <v>4</v>
      </c>
      <c r="E53" s="2" t="s">
        <v>56</v>
      </c>
      <c r="F53" s="99">
        <f t="shared" si="5"/>
        <v>24.08</v>
      </c>
      <c r="G53" s="62">
        <v>29.13</v>
      </c>
      <c r="H53" s="58"/>
      <c r="I53" s="523"/>
      <c r="J53" s="525"/>
    </row>
    <row r="54" spans="1:10" x14ac:dyDescent="0.25">
      <c r="A54" s="7"/>
      <c r="B54" s="7"/>
      <c r="C54" s="58"/>
      <c r="D54" s="2">
        <f t="shared" si="4"/>
        <v>5</v>
      </c>
      <c r="E54" s="2" t="s">
        <v>57</v>
      </c>
      <c r="F54" s="99">
        <f t="shared" si="5"/>
        <v>29.13</v>
      </c>
      <c r="G54" s="62">
        <v>32.14</v>
      </c>
      <c r="H54" s="58"/>
      <c r="I54" s="523"/>
      <c r="J54" s="525"/>
    </row>
    <row r="55" spans="1:10" x14ac:dyDescent="0.25">
      <c r="A55" s="7"/>
      <c r="B55" s="7"/>
      <c r="C55" s="58"/>
      <c r="D55" s="2">
        <f t="shared" si="4"/>
        <v>6</v>
      </c>
      <c r="E55" s="2" t="s">
        <v>58</v>
      </c>
      <c r="F55" s="99">
        <f t="shared" si="5"/>
        <v>32.14</v>
      </c>
      <c r="G55" s="62">
        <v>39.090000000000003</v>
      </c>
      <c r="H55" s="58"/>
      <c r="I55" s="523"/>
      <c r="J55" s="525"/>
    </row>
    <row r="56" spans="1:10" x14ac:dyDescent="0.25">
      <c r="A56" s="20"/>
      <c r="B56" s="20"/>
      <c r="C56" s="305"/>
      <c r="D56" s="306">
        <f t="shared" si="4"/>
        <v>7</v>
      </c>
      <c r="E56" s="306" t="s">
        <v>59</v>
      </c>
      <c r="F56" s="307">
        <f t="shared" si="5"/>
        <v>39.090000000000003</v>
      </c>
      <c r="G56" s="308">
        <v>50.43</v>
      </c>
      <c r="H56" s="310" t="s">
        <v>186</v>
      </c>
      <c r="I56" s="523"/>
      <c r="J56" s="525"/>
    </row>
    <row r="57" spans="1:10" x14ac:dyDescent="0.25">
      <c r="A57" s="7"/>
      <c r="B57" s="7"/>
      <c r="C57" s="58"/>
      <c r="D57" s="2"/>
      <c r="E57" s="2"/>
      <c r="F57" s="99"/>
      <c r="G57" s="62"/>
      <c r="H57" s="58"/>
      <c r="I57" s="523"/>
      <c r="J57" s="525"/>
    </row>
    <row r="58" spans="1:10" x14ac:dyDescent="0.25">
      <c r="A58" s="7">
        <v>7</v>
      </c>
      <c r="B58" s="7" t="s">
        <v>60</v>
      </c>
      <c r="C58" s="58">
        <v>55.31</v>
      </c>
      <c r="D58" s="2">
        <v>1</v>
      </c>
      <c r="E58" s="2" t="s">
        <v>61</v>
      </c>
      <c r="F58" s="99">
        <v>5.05</v>
      </c>
      <c r="G58" s="62">
        <v>19.57</v>
      </c>
      <c r="H58" s="58"/>
      <c r="I58" s="523" t="s">
        <v>996</v>
      </c>
      <c r="J58" s="525" t="str">
        <f>HYPERLINK("https://www.youtube.com/watch?v=LuXq5_W4nfw", "https://www.youtube.com/watch?v=LuXq5_W4nfw")</f>
        <v>https://www.youtube.com/watch?v=LuXq5_W4nfw</v>
      </c>
    </row>
    <row r="59" spans="1:10" x14ac:dyDescent="0.25">
      <c r="A59" s="7"/>
      <c r="B59" s="7"/>
      <c r="C59" s="58"/>
      <c r="D59" s="2">
        <f t="shared" ref="D59:D69" si="6">+D58+1</f>
        <v>2</v>
      </c>
      <c r="E59" s="2" t="s">
        <v>62</v>
      </c>
      <c r="F59" s="99">
        <f>+G58</f>
        <v>19.57</v>
      </c>
      <c r="G59" s="62">
        <v>28.14</v>
      </c>
      <c r="H59" s="58"/>
      <c r="I59" s="523"/>
      <c r="J59" s="525"/>
    </row>
    <row r="60" spans="1:10" x14ac:dyDescent="0.25">
      <c r="A60" s="7"/>
      <c r="B60" s="7"/>
      <c r="C60" s="58"/>
      <c r="D60" s="2">
        <f t="shared" si="6"/>
        <v>3</v>
      </c>
      <c r="E60" s="2" t="s">
        <v>63</v>
      </c>
      <c r="F60" s="99">
        <f t="shared" ref="F60:F69" si="7">+G59</f>
        <v>28.14</v>
      </c>
      <c r="G60" s="62">
        <v>31.45</v>
      </c>
      <c r="H60" s="58"/>
      <c r="I60" s="523"/>
      <c r="J60" s="525"/>
    </row>
    <row r="61" spans="1:10" x14ac:dyDescent="0.25">
      <c r="A61" s="7"/>
      <c r="B61" s="7"/>
      <c r="C61" s="58"/>
      <c r="D61" s="2">
        <f t="shared" si="6"/>
        <v>4</v>
      </c>
      <c r="E61" s="2" t="s">
        <v>64</v>
      </c>
      <c r="F61" s="99">
        <f t="shared" si="7"/>
        <v>31.45</v>
      </c>
      <c r="G61" s="62">
        <v>36.06</v>
      </c>
      <c r="H61" s="58"/>
      <c r="I61" s="523"/>
      <c r="J61" s="525"/>
    </row>
    <row r="62" spans="1:10" x14ac:dyDescent="0.25">
      <c r="A62" s="7"/>
      <c r="B62" s="7"/>
      <c r="C62" s="58"/>
      <c r="D62" s="2">
        <f t="shared" si="6"/>
        <v>5</v>
      </c>
      <c r="E62" s="2" t="s">
        <v>65</v>
      </c>
      <c r="F62" s="99">
        <f t="shared" si="7"/>
        <v>36.06</v>
      </c>
      <c r="G62" s="62">
        <v>39.119999999999997</v>
      </c>
      <c r="H62" s="58"/>
      <c r="I62" s="523"/>
      <c r="J62" s="525"/>
    </row>
    <row r="63" spans="1:10" x14ac:dyDescent="0.25">
      <c r="A63" s="7"/>
      <c r="B63" s="7"/>
      <c r="C63" s="58"/>
      <c r="D63" s="2">
        <f t="shared" si="6"/>
        <v>6</v>
      </c>
      <c r="E63" s="2" t="s">
        <v>66</v>
      </c>
      <c r="F63" s="99">
        <f t="shared" si="7"/>
        <v>39.119999999999997</v>
      </c>
      <c r="G63" s="62">
        <v>40.42</v>
      </c>
      <c r="H63" s="58"/>
      <c r="I63" s="523"/>
      <c r="J63" s="525"/>
    </row>
    <row r="64" spans="1:10" x14ac:dyDescent="0.25">
      <c r="A64" s="7"/>
      <c r="B64" s="7"/>
      <c r="C64" s="58"/>
      <c r="D64" s="2">
        <f t="shared" si="6"/>
        <v>7</v>
      </c>
      <c r="E64" s="2" t="s">
        <v>67</v>
      </c>
      <c r="F64" s="99">
        <f t="shared" si="7"/>
        <v>40.42</v>
      </c>
      <c r="G64" s="62">
        <v>42.04</v>
      </c>
      <c r="H64" s="58"/>
      <c r="I64" s="523"/>
      <c r="J64" s="525"/>
    </row>
    <row r="65" spans="1:10" x14ac:dyDescent="0.25">
      <c r="A65" s="7"/>
      <c r="B65" s="7"/>
      <c r="C65" s="58"/>
      <c r="D65" s="2">
        <f t="shared" si="6"/>
        <v>8</v>
      </c>
      <c r="E65" s="2" t="s">
        <v>68</v>
      </c>
      <c r="F65" s="99">
        <f t="shared" si="7"/>
        <v>42.04</v>
      </c>
      <c r="G65" s="62">
        <v>43.23</v>
      </c>
      <c r="H65" s="58"/>
      <c r="I65" s="523"/>
      <c r="J65" s="525"/>
    </row>
    <row r="66" spans="1:10" x14ac:dyDescent="0.25">
      <c r="A66" s="7"/>
      <c r="B66" s="7"/>
      <c r="C66" s="58"/>
      <c r="D66" s="2">
        <f t="shared" si="6"/>
        <v>9</v>
      </c>
      <c r="E66" s="2" t="s">
        <v>69</v>
      </c>
      <c r="F66" s="99">
        <f t="shared" si="7"/>
        <v>43.23</v>
      </c>
      <c r="G66" s="62">
        <v>45.19</v>
      </c>
      <c r="H66" s="58"/>
      <c r="I66" s="523"/>
      <c r="J66" s="525"/>
    </row>
    <row r="67" spans="1:10" x14ac:dyDescent="0.25">
      <c r="A67" s="7"/>
      <c r="B67" s="7"/>
      <c r="C67" s="58"/>
      <c r="D67" s="2">
        <f t="shared" si="6"/>
        <v>10</v>
      </c>
      <c r="E67" s="2" t="s">
        <v>70</v>
      </c>
      <c r="F67" s="99">
        <f t="shared" si="7"/>
        <v>45.19</v>
      </c>
      <c r="G67" s="62">
        <v>47.22</v>
      </c>
      <c r="H67" s="58"/>
      <c r="I67" s="523"/>
      <c r="J67" s="525"/>
    </row>
    <row r="68" spans="1:10" x14ac:dyDescent="0.25">
      <c r="A68" s="7"/>
      <c r="B68" s="7"/>
      <c r="C68" s="58"/>
      <c r="D68" s="2">
        <f t="shared" si="6"/>
        <v>11</v>
      </c>
      <c r="E68" s="2" t="s">
        <v>71</v>
      </c>
      <c r="F68" s="99">
        <f t="shared" si="7"/>
        <v>47.22</v>
      </c>
      <c r="G68" s="62">
        <v>50.19</v>
      </c>
      <c r="H68" s="58"/>
      <c r="I68" s="523"/>
      <c r="J68" s="525"/>
    </row>
    <row r="69" spans="1:10" x14ac:dyDescent="0.25">
      <c r="A69" s="7"/>
      <c r="B69" s="7"/>
      <c r="C69" s="58"/>
      <c r="D69" s="2">
        <f t="shared" si="6"/>
        <v>12</v>
      </c>
      <c r="E69" s="2" t="s">
        <v>72</v>
      </c>
      <c r="F69" s="99">
        <f t="shared" si="7"/>
        <v>50.19</v>
      </c>
      <c r="G69" s="62">
        <v>53.12</v>
      </c>
      <c r="H69" s="58" t="s">
        <v>642</v>
      </c>
      <c r="I69" s="523"/>
      <c r="J69" s="525"/>
    </row>
    <row r="70" spans="1:10" x14ac:dyDescent="0.25">
      <c r="A70" s="20"/>
      <c r="B70" s="20"/>
      <c r="C70" s="305"/>
      <c r="D70" s="306"/>
      <c r="E70" s="306"/>
      <c r="F70" s="307"/>
      <c r="G70" s="308"/>
      <c r="H70" s="305"/>
      <c r="I70" s="523"/>
      <c r="J70" s="525"/>
    </row>
    <row r="71" spans="1:10" x14ac:dyDescent="0.25">
      <c r="A71" s="7">
        <v>6</v>
      </c>
      <c r="B71" s="7" t="s">
        <v>73</v>
      </c>
      <c r="C71" s="58">
        <v>56.28</v>
      </c>
      <c r="D71" s="2">
        <v>1</v>
      </c>
      <c r="E71" s="2" t="s">
        <v>74</v>
      </c>
      <c r="F71" s="99">
        <v>4.2300000000000004</v>
      </c>
      <c r="G71" s="62">
        <v>5.59</v>
      </c>
      <c r="H71" s="58"/>
      <c r="I71" s="523" t="s">
        <v>997</v>
      </c>
      <c r="J71" s="525" t="str">
        <f>HYPERLINK("https://www.youtube.com/watch?v=-4tnrZNPY58", "https://www.youtube.com/watch?v=-4tnrZNPY58")</f>
        <v>https://www.youtube.com/watch?v=-4tnrZNPY58</v>
      </c>
    </row>
    <row r="72" spans="1:10" x14ac:dyDescent="0.25">
      <c r="A72" s="7"/>
      <c r="B72" s="7"/>
      <c r="C72" s="58"/>
      <c r="D72" s="2">
        <f>+D71+1</f>
        <v>2</v>
      </c>
      <c r="E72" s="2" t="s">
        <v>75</v>
      </c>
      <c r="F72" s="99">
        <f>+G71</f>
        <v>5.59</v>
      </c>
      <c r="G72" s="62">
        <v>9.0399999999999991</v>
      </c>
      <c r="H72" s="58"/>
      <c r="I72" s="523"/>
      <c r="J72" s="525"/>
    </row>
    <row r="73" spans="1:10" x14ac:dyDescent="0.25">
      <c r="A73" s="7"/>
      <c r="B73" s="7"/>
      <c r="C73" s="58"/>
      <c r="D73" s="2">
        <f t="shared" ref="D73:D106" si="8">+D72+1</f>
        <v>3</v>
      </c>
      <c r="E73" s="2" t="s">
        <v>76</v>
      </c>
      <c r="F73" s="99">
        <f t="shared" ref="F73:F106" si="9">+G72</f>
        <v>9.0399999999999991</v>
      </c>
      <c r="G73" s="62">
        <v>10.5</v>
      </c>
      <c r="H73" s="58"/>
      <c r="I73" s="523"/>
      <c r="J73" s="525"/>
    </row>
    <row r="74" spans="1:10" x14ac:dyDescent="0.25">
      <c r="A74" s="7"/>
      <c r="B74" s="7"/>
      <c r="C74" s="58"/>
      <c r="D74" s="2">
        <f t="shared" si="8"/>
        <v>4</v>
      </c>
      <c r="E74" s="2" t="s">
        <v>79</v>
      </c>
      <c r="F74" s="99">
        <f t="shared" si="9"/>
        <v>10.5</v>
      </c>
      <c r="G74" s="62">
        <v>12.28</v>
      </c>
      <c r="H74" s="58"/>
      <c r="I74" s="523"/>
      <c r="J74" s="525"/>
    </row>
    <row r="75" spans="1:10" x14ac:dyDescent="0.25">
      <c r="A75" s="7"/>
      <c r="B75" s="7"/>
      <c r="C75" s="58"/>
      <c r="D75" s="2">
        <f t="shared" si="8"/>
        <v>5</v>
      </c>
      <c r="E75" s="2" t="s">
        <v>77</v>
      </c>
      <c r="F75" s="99">
        <f t="shared" si="9"/>
        <v>12.28</v>
      </c>
      <c r="G75" s="62">
        <v>14.01</v>
      </c>
      <c r="H75" s="58"/>
      <c r="I75" s="523"/>
      <c r="J75" s="525"/>
    </row>
    <row r="76" spans="1:10" x14ac:dyDescent="0.25">
      <c r="A76" s="7"/>
      <c r="B76" s="7"/>
      <c r="C76" s="58"/>
      <c r="D76" s="2">
        <f t="shared" si="8"/>
        <v>6</v>
      </c>
      <c r="E76" s="2" t="s">
        <v>78</v>
      </c>
      <c r="F76" s="99">
        <f t="shared" si="9"/>
        <v>14.01</v>
      </c>
      <c r="G76" s="62">
        <v>15.53</v>
      </c>
      <c r="H76" s="58"/>
      <c r="I76" s="523"/>
      <c r="J76" s="525"/>
    </row>
    <row r="77" spans="1:10" x14ac:dyDescent="0.25">
      <c r="A77" s="7"/>
      <c r="B77" s="7"/>
      <c r="C77" s="58"/>
      <c r="D77" s="2">
        <f t="shared" si="8"/>
        <v>7</v>
      </c>
      <c r="E77" s="2" t="s">
        <v>80</v>
      </c>
      <c r="F77" s="99">
        <f t="shared" si="9"/>
        <v>15.53</v>
      </c>
      <c r="G77" s="62">
        <v>17.46</v>
      </c>
      <c r="H77" s="58"/>
      <c r="I77" s="523"/>
      <c r="J77" s="525"/>
    </row>
    <row r="78" spans="1:10" x14ac:dyDescent="0.25">
      <c r="A78" s="7"/>
      <c r="B78" s="7"/>
      <c r="C78" s="58"/>
      <c r="D78" s="2">
        <f t="shared" si="8"/>
        <v>8</v>
      </c>
      <c r="E78" s="2" t="s">
        <v>81</v>
      </c>
      <c r="F78" s="99">
        <f t="shared" si="9"/>
        <v>17.46</v>
      </c>
      <c r="G78" s="62">
        <v>19.41</v>
      </c>
      <c r="H78" s="58"/>
      <c r="I78" s="523"/>
      <c r="J78" s="525"/>
    </row>
    <row r="79" spans="1:10" x14ac:dyDescent="0.25">
      <c r="A79" s="7"/>
      <c r="B79" s="7"/>
      <c r="C79" s="58"/>
      <c r="D79" s="2">
        <f t="shared" si="8"/>
        <v>9</v>
      </c>
      <c r="E79" s="2" t="s">
        <v>82</v>
      </c>
      <c r="F79" s="99">
        <f t="shared" si="9"/>
        <v>19.41</v>
      </c>
      <c r="G79" s="62">
        <v>21.08</v>
      </c>
      <c r="H79" s="58"/>
      <c r="I79" s="523"/>
      <c r="J79" s="525"/>
    </row>
    <row r="80" spans="1:10" x14ac:dyDescent="0.25">
      <c r="A80" s="7"/>
      <c r="B80" s="7"/>
      <c r="C80" s="58"/>
      <c r="D80" s="2">
        <f t="shared" si="8"/>
        <v>10</v>
      </c>
      <c r="E80" s="2" t="s">
        <v>83</v>
      </c>
      <c r="F80" s="99">
        <f t="shared" si="9"/>
        <v>21.08</v>
      </c>
      <c r="G80" s="62">
        <v>23.18</v>
      </c>
      <c r="H80" s="58"/>
      <c r="I80" s="523"/>
      <c r="J80" s="525"/>
    </row>
    <row r="81" spans="1:10" x14ac:dyDescent="0.25">
      <c r="A81" s="7"/>
      <c r="B81" s="7"/>
      <c r="C81" s="58"/>
      <c r="D81" s="2">
        <f t="shared" si="8"/>
        <v>11</v>
      </c>
      <c r="E81" s="2" t="s">
        <v>84</v>
      </c>
      <c r="F81" s="99">
        <f t="shared" si="9"/>
        <v>23.18</v>
      </c>
      <c r="G81" s="62">
        <v>27.5</v>
      </c>
      <c r="H81" s="58"/>
      <c r="I81" s="523"/>
      <c r="J81" s="525"/>
    </row>
    <row r="82" spans="1:10" x14ac:dyDescent="0.25">
      <c r="A82" s="7"/>
      <c r="B82" s="7"/>
      <c r="C82" s="58"/>
      <c r="D82" s="2">
        <f t="shared" si="8"/>
        <v>12</v>
      </c>
      <c r="E82" s="2" t="s">
        <v>85</v>
      </c>
      <c r="F82" s="99">
        <f t="shared" si="9"/>
        <v>27.5</v>
      </c>
      <c r="G82" s="62">
        <v>29.24</v>
      </c>
      <c r="H82" s="58"/>
      <c r="I82" s="523"/>
      <c r="J82" s="525"/>
    </row>
    <row r="83" spans="1:10" x14ac:dyDescent="0.25">
      <c r="A83" s="7"/>
      <c r="B83" s="7"/>
      <c r="C83" s="58"/>
      <c r="D83" s="2">
        <f t="shared" si="8"/>
        <v>13</v>
      </c>
      <c r="E83" s="2" t="s">
        <v>86</v>
      </c>
      <c r="F83" s="99">
        <f t="shared" si="9"/>
        <v>29.24</v>
      </c>
      <c r="G83" s="62">
        <v>30.55</v>
      </c>
      <c r="H83" s="58"/>
      <c r="I83" s="523"/>
      <c r="J83" s="525"/>
    </row>
    <row r="84" spans="1:10" x14ac:dyDescent="0.25">
      <c r="A84" s="7"/>
      <c r="B84" s="7"/>
      <c r="C84" s="58"/>
      <c r="D84" s="2">
        <f t="shared" si="8"/>
        <v>14</v>
      </c>
      <c r="E84" s="2" t="s">
        <v>87</v>
      </c>
      <c r="F84" s="99">
        <f t="shared" si="9"/>
        <v>30.55</v>
      </c>
      <c r="G84" s="62">
        <v>31.52</v>
      </c>
      <c r="H84" s="58"/>
      <c r="I84" s="523"/>
      <c r="J84" s="525"/>
    </row>
    <row r="85" spans="1:10" x14ac:dyDescent="0.25">
      <c r="A85" s="7"/>
      <c r="B85" s="9"/>
      <c r="C85" s="59"/>
      <c r="D85" s="2">
        <f t="shared" si="8"/>
        <v>15</v>
      </c>
      <c r="E85" s="2" t="s">
        <v>88</v>
      </c>
      <c r="F85" s="99">
        <f t="shared" si="9"/>
        <v>31.52</v>
      </c>
      <c r="G85" s="62">
        <v>32.44</v>
      </c>
      <c r="H85" s="59"/>
      <c r="I85" s="521"/>
      <c r="J85" s="525"/>
    </row>
    <row r="86" spans="1:10" x14ac:dyDescent="0.25">
      <c r="A86" s="7"/>
      <c r="B86" s="9"/>
      <c r="C86" s="59"/>
      <c r="D86" s="2">
        <f t="shared" si="8"/>
        <v>16</v>
      </c>
      <c r="E86" s="2" t="s">
        <v>89</v>
      </c>
      <c r="F86" s="99">
        <f t="shared" si="9"/>
        <v>32.44</v>
      </c>
      <c r="G86" s="62">
        <v>34.42</v>
      </c>
      <c r="H86" s="59"/>
      <c r="I86" s="521"/>
      <c r="J86" s="525"/>
    </row>
    <row r="87" spans="1:10" x14ac:dyDescent="0.25">
      <c r="A87" s="7"/>
      <c r="B87" s="9"/>
      <c r="C87" s="59"/>
      <c r="D87" s="2">
        <f t="shared" si="8"/>
        <v>17</v>
      </c>
      <c r="E87" s="2" t="s">
        <v>90</v>
      </c>
      <c r="F87" s="99">
        <f t="shared" si="9"/>
        <v>34.42</v>
      </c>
      <c r="G87" s="62">
        <v>37.020000000000003</v>
      </c>
      <c r="H87" s="59"/>
      <c r="I87" s="521"/>
      <c r="J87" s="525"/>
    </row>
    <row r="88" spans="1:10" x14ac:dyDescent="0.25">
      <c r="A88" s="7"/>
      <c r="B88" s="9"/>
      <c r="C88" s="59"/>
      <c r="D88" s="2">
        <f t="shared" si="8"/>
        <v>18</v>
      </c>
      <c r="E88" s="2" t="s">
        <v>91</v>
      </c>
      <c r="F88" s="99">
        <f t="shared" si="9"/>
        <v>37.020000000000003</v>
      </c>
      <c r="G88" s="62">
        <v>38.24</v>
      </c>
      <c r="H88" s="59"/>
      <c r="I88" s="521"/>
      <c r="J88" s="525"/>
    </row>
    <row r="89" spans="1:10" x14ac:dyDescent="0.25">
      <c r="A89" s="7"/>
      <c r="B89" s="9"/>
      <c r="C89" s="59"/>
      <c r="D89" s="2">
        <f t="shared" si="8"/>
        <v>19</v>
      </c>
      <c r="E89" s="2" t="s">
        <v>92</v>
      </c>
      <c r="F89" s="99">
        <f t="shared" si="9"/>
        <v>38.24</v>
      </c>
      <c r="G89" s="62">
        <v>39.479999999999997</v>
      </c>
      <c r="H89" s="59"/>
      <c r="I89" s="521"/>
      <c r="J89" s="525"/>
    </row>
    <row r="90" spans="1:10" x14ac:dyDescent="0.25">
      <c r="A90" s="7"/>
      <c r="B90" s="9"/>
      <c r="C90" s="59"/>
      <c r="D90" s="2">
        <f t="shared" si="8"/>
        <v>20</v>
      </c>
      <c r="E90" s="2" t="s">
        <v>93</v>
      </c>
      <c r="F90" s="99">
        <f t="shared" si="9"/>
        <v>39.479999999999997</v>
      </c>
      <c r="G90" s="62">
        <v>41.14</v>
      </c>
      <c r="H90" s="59"/>
      <c r="I90" s="521"/>
      <c r="J90" s="525"/>
    </row>
    <row r="91" spans="1:10" x14ac:dyDescent="0.25">
      <c r="A91" s="7"/>
      <c r="B91" s="9"/>
      <c r="C91" s="59"/>
      <c r="D91" s="2">
        <f t="shared" si="8"/>
        <v>21</v>
      </c>
      <c r="E91" s="2" t="s">
        <v>94</v>
      </c>
      <c r="F91" s="99">
        <f t="shared" si="9"/>
        <v>41.14</v>
      </c>
      <c r="G91" s="62">
        <v>41.49</v>
      </c>
      <c r="H91" s="59"/>
      <c r="I91" s="521"/>
      <c r="J91" s="525"/>
    </row>
    <row r="92" spans="1:10" x14ac:dyDescent="0.25">
      <c r="A92" s="7"/>
      <c r="B92" s="9"/>
      <c r="C92" s="59"/>
      <c r="D92" s="2">
        <f t="shared" si="8"/>
        <v>22</v>
      </c>
      <c r="E92" s="2" t="s">
        <v>95</v>
      </c>
      <c r="F92" s="99">
        <f t="shared" si="9"/>
        <v>41.49</v>
      </c>
      <c r="G92" s="62">
        <v>43.08</v>
      </c>
      <c r="H92" s="59"/>
      <c r="I92" s="521"/>
      <c r="J92" s="525"/>
    </row>
    <row r="93" spans="1:10" x14ac:dyDescent="0.25">
      <c r="A93" s="7"/>
      <c r="B93" s="9"/>
      <c r="C93" s="59"/>
      <c r="D93" s="2">
        <f t="shared" si="8"/>
        <v>23</v>
      </c>
      <c r="E93" s="2" t="s">
        <v>96</v>
      </c>
      <c r="F93" s="99">
        <f t="shared" si="9"/>
        <v>43.08</v>
      </c>
      <c r="G93" s="62">
        <v>46.09</v>
      </c>
      <c r="H93" s="59"/>
      <c r="I93" s="521"/>
      <c r="J93" s="525"/>
    </row>
    <row r="94" spans="1:10" x14ac:dyDescent="0.25">
      <c r="A94" s="7"/>
      <c r="B94" s="9"/>
      <c r="C94" s="59"/>
      <c r="D94" s="2">
        <f t="shared" si="8"/>
        <v>24</v>
      </c>
      <c r="E94" s="2" t="s">
        <v>97</v>
      </c>
      <c r="F94" s="99">
        <f t="shared" si="9"/>
        <v>46.09</v>
      </c>
      <c r="G94" s="62">
        <v>48.37</v>
      </c>
      <c r="H94" s="59"/>
      <c r="I94" s="521"/>
      <c r="J94" s="525"/>
    </row>
    <row r="95" spans="1:10" x14ac:dyDescent="0.25">
      <c r="A95" s="7"/>
      <c r="B95" s="9"/>
      <c r="C95" s="59"/>
      <c r="D95" s="2">
        <f t="shared" si="8"/>
        <v>25</v>
      </c>
      <c r="E95" s="2" t="s">
        <v>98</v>
      </c>
      <c r="F95" s="99">
        <f t="shared" si="9"/>
        <v>48.37</v>
      </c>
      <c r="G95" s="62">
        <v>50.39</v>
      </c>
      <c r="H95" s="59"/>
      <c r="I95" s="521"/>
      <c r="J95" s="525"/>
    </row>
    <row r="96" spans="1:10" x14ac:dyDescent="0.25">
      <c r="A96" s="7"/>
      <c r="B96" s="9"/>
      <c r="C96" s="59"/>
      <c r="D96" s="2">
        <f t="shared" si="8"/>
        <v>26</v>
      </c>
      <c r="E96" s="2" t="s">
        <v>99</v>
      </c>
      <c r="F96" s="99">
        <f t="shared" si="9"/>
        <v>50.39</v>
      </c>
      <c r="G96" s="62">
        <v>52.16</v>
      </c>
      <c r="H96" s="59"/>
      <c r="I96" s="521"/>
      <c r="J96" s="525"/>
    </row>
    <row r="97" spans="1:10" x14ac:dyDescent="0.25">
      <c r="A97" s="20"/>
      <c r="B97" s="20"/>
      <c r="C97" s="305"/>
      <c r="D97" s="306"/>
      <c r="E97" s="306"/>
      <c r="F97" s="307"/>
      <c r="G97" s="308"/>
      <c r="H97" s="305"/>
      <c r="I97" s="523"/>
      <c r="J97" s="525"/>
    </row>
    <row r="98" spans="1:10" x14ac:dyDescent="0.25">
      <c r="A98" s="7">
        <v>7</v>
      </c>
      <c r="B98" s="7" t="s">
        <v>102</v>
      </c>
      <c r="C98" s="58">
        <v>50.25</v>
      </c>
      <c r="D98" s="2">
        <v>1</v>
      </c>
      <c r="E98" s="2" t="s">
        <v>100</v>
      </c>
      <c r="F98" s="99">
        <v>0.28999999999999998</v>
      </c>
      <c r="G98" s="62">
        <v>2.0699999999999998</v>
      </c>
      <c r="H98" s="58" t="s">
        <v>110</v>
      </c>
      <c r="I98" s="523" t="s">
        <v>998</v>
      </c>
      <c r="J98" s="525" t="str">
        <f>HYPERLINK("https://www.youtube.com/watch?v=Sc37wXohjcA", "https://www.youtube.com/watch?v=Sc37wXohjcA")</f>
        <v>https://www.youtube.com/watch?v=Sc37wXohjcA</v>
      </c>
    </row>
    <row r="99" spans="1:10" x14ac:dyDescent="0.25">
      <c r="A99" s="7"/>
      <c r="B99" s="7"/>
      <c r="C99" s="58"/>
      <c r="D99" s="2">
        <f t="shared" si="8"/>
        <v>2</v>
      </c>
      <c r="E99" s="2" t="s">
        <v>101</v>
      </c>
      <c r="F99" s="99">
        <f t="shared" si="9"/>
        <v>2.0699999999999998</v>
      </c>
      <c r="G99" s="62">
        <v>3.52</v>
      </c>
      <c r="H99" s="58"/>
      <c r="I99" s="523"/>
      <c r="J99" s="525"/>
    </row>
    <row r="100" spans="1:10" x14ac:dyDescent="0.25">
      <c r="A100" s="7"/>
      <c r="B100" s="7"/>
      <c r="C100" s="58"/>
      <c r="D100" s="2">
        <f t="shared" si="8"/>
        <v>3</v>
      </c>
      <c r="E100" s="2" t="s">
        <v>103</v>
      </c>
      <c r="F100" s="99">
        <f t="shared" si="9"/>
        <v>3.52</v>
      </c>
      <c r="G100" s="62">
        <v>5.56</v>
      </c>
      <c r="H100" s="58"/>
      <c r="I100" s="523"/>
      <c r="J100" s="525"/>
    </row>
    <row r="101" spans="1:10" x14ac:dyDescent="0.25">
      <c r="A101" s="7"/>
      <c r="B101" s="7"/>
      <c r="C101" s="58"/>
      <c r="D101" s="2">
        <f t="shared" si="8"/>
        <v>4</v>
      </c>
      <c r="E101" s="2" t="s">
        <v>104</v>
      </c>
      <c r="F101" s="99">
        <f t="shared" si="9"/>
        <v>5.56</v>
      </c>
      <c r="G101" s="62">
        <v>7.56</v>
      </c>
      <c r="H101" s="58"/>
      <c r="I101" s="523"/>
      <c r="J101" s="525"/>
    </row>
    <row r="102" spans="1:10" x14ac:dyDescent="0.25">
      <c r="A102" s="7"/>
      <c r="B102" s="7"/>
      <c r="C102" s="58"/>
      <c r="D102" s="2">
        <f t="shared" si="8"/>
        <v>5</v>
      </c>
      <c r="E102" s="2" t="s">
        <v>105</v>
      </c>
      <c r="F102" s="99">
        <f t="shared" si="9"/>
        <v>7.56</v>
      </c>
      <c r="G102" s="62">
        <v>10.06</v>
      </c>
      <c r="H102" s="58"/>
      <c r="I102" s="523"/>
      <c r="J102" s="525"/>
    </row>
    <row r="103" spans="1:10" x14ac:dyDescent="0.25">
      <c r="A103" s="7"/>
      <c r="B103" s="7"/>
      <c r="C103" s="58"/>
      <c r="D103" s="2">
        <f t="shared" si="8"/>
        <v>6</v>
      </c>
      <c r="E103" s="2" t="s">
        <v>106</v>
      </c>
      <c r="F103" s="99">
        <f t="shared" si="9"/>
        <v>10.06</v>
      </c>
      <c r="G103" s="62">
        <v>18.149999999999999</v>
      </c>
      <c r="H103" s="58"/>
      <c r="I103" s="523"/>
      <c r="J103" s="525"/>
    </row>
    <row r="104" spans="1:10" x14ac:dyDescent="0.25">
      <c r="A104" s="7"/>
      <c r="B104" s="7"/>
      <c r="C104" s="58"/>
      <c r="D104" s="2">
        <f t="shared" si="8"/>
        <v>7</v>
      </c>
      <c r="E104" s="2" t="s">
        <v>107</v>
      </c>
      <c r="F104" s="99">
        <f t="shared" si="9"/>
        <v>18.149999999999999</v>
      </c>
      <c r="G104" s="62">
        <v>27.26</v>
      </c>
      <c r="H104" s="58"/>
      <c r="I104" s="523"/>
      <c r="J104" s="525"/>
    </row>
    <row r="105" spans="1:10" x14ac:dyDescent="0.25">
      <c r="A105" s="7"/>
      <c r="B105" s="7"/>
      <c r="C105" s="58"/>
      <c r="D105" s="2">
        <f t="shared" si="8"/>
        <v>8</v>
      </c>
      <c r="E105" s="2" t="s">
        <v>108</v>
      </c>
      <c r="F105" s="99">
        <f t="shared" si="9"/>
        <v>27.26</v>
      </c>
      <c r="G105" s="62">
        <v>37.22</v>
      </c>
      <c r="H105" s="58"/>
      <c r="I105" s="523"/>
      <c r="J105" s="525"/>
    </row>
    <row r="106" spans="1:10" x14ac:dyDescent="0.25">
      <c r="A106" s="7"/>
      <c r="B106" s="7"/>
      <c r="C106" s="58"/>
      <c r="D106" s="2">
        <f t="shared" si="8"/>
        <v>9</v>
      </c>
      <c r="E106" s="2" t="s">
        <v>109</v>
      </c>
      <c r="F106" s="99">
        <f t="shared" si="9"/>
        <v>37.22</v>
      </c>
      <c r="G106" s="62">
        <v>47.51</v>
      </c>
      <c r="H106" s="58" t="s">
        <v>753</v>
      </c>
      <c r="I106" s="523"/>
      <c r="J106" s="525"/>
    </row>
    <row r="107" spans="1:10" x14ac:dyDescent="0.25">
      <c r="A107" s="20"/>
      <c r="B107" s="20"/>
      <c r="C107" s="305"/>
      <c r="D107" s="306"/>
      <c r="E107" s="306"/>
      <c r="F107" s="307"/>
      <c r="G107" s="308"/>
      <c r="H107" s="305"/>
      <c r="I107" s="523"/>
      <c r="J107" s="525"/>
    </row>
    <row r="108" spans="1:10" x14ac:dyDescent="0.25">
      <c r="A108" s="7">
        <v>8</v>
      </c>
      <c r="B108" s="7" t="s">
        <v>111</v>
      </c>
      <c r="C108" s="58">
        <v>53.54</v>
      </c>
      <c r="D108" s="2">
        <v>1</v>
      </c>
      <c r="E108" s="2" t="s">
        <v>112</v>
      </c>
      <c r="F108" s="99">
        <v>1.46</v>
      </c>
      <c r="G108" s="62">
        <v>16.07</v>
      </c>
      <c r="H108" s="58"/>
      <c r="I108" s="523" t="s">
        <v>999</v>
      </c>
      <c r="J108" s="525" t="str">
        <f>HYPERLINK("https://www.youtube.com/watch?v=0f6d52ip9Ug", "https://www.youtube.com/watch?v=0f6d52ip9Ug")</f>
        <v>https://www.youtube.com/watch?v=0f6d52ip9Ug</v>
      </c>
    </row>
    <row r="109" spans="1:10" x14ac:dyDescent="0.25">
      <c r="A109" s="7"/>
      <c r="B109" s="7"/>
      <c r="C109" s="58"/>
      <c r="D109" s="2">
        <f t="shared" ref="D109:D116" si="10">+D108+1</f>
        <v>2</v>
      </c>
      <c r="E109" s="2" t="s">
        <v>114</v>
      </c>
      <c r="F109" s="99">
        <f>+G108</f>
        <v>16.07</v>
      </c>
      <c r="G109" s="62">
        <v>31.32</v>
      </c>
      <c r="H109" s="58"/>
      <c r="I109" s="523"/>
      <c r="J109" s="525"/>
    </row>
    <row r="110" spans="1:10" x14ac:dyDescent="0.25">
      <c r="A110" s="7"/>
      <c r="B110" s="7"/>
      <c r="C110" s="58"/>
      <c r="D110" s="2">
        <f t="shared" si="10"/>
        <v>3</v>
      </c>
      <c r="E110" s="2" t="s">
        <v>115</v>
      </c>
      <c r="F110" s="99">
        <f>+G109</f>
        <v>31.32</v>
      </c>
      <c r="G110" s="62">
        <v>40.15</v>
      </c>
      <c r="H110" s="58"/>
      <c r="I110" s="523"/>
      <c r="J110" s="525"/>
    </row>
    <row r="111" spans="1:10" x14ac:dyDescent="0.25">
      <c r="A111" s="20"/>
      <c r="B111" s="20"/>
      <c r="C111" s="305"/>
      <c r="D111" s="306">
        <f t="shared" si="10"/>
        <v>4</v>
      </c>
      <c r="E111" s="306" t="s">
        <v>116</v>
      </c>
      <c r="F111" s="307">
        <f>+G110</f>
        <v>40.15</v>
      </c>
      <c r="G111" s="308">
        <v>53.04</v>
      </c>
      <c r="H111" s="313"/>
      <c r="I111" s="523"/>
      <c r="J111" s="525"/>
    </row>
    <row r="112" spans="1:10" x14ac:dyDescent="0.25">
      <c r="A112" s="7"/>
      <c r="B112" s="7"/>
      <c r="C112" s="58"/>
      <c r="D112" s="2"/>
      <c r="E112" s="2"/>
      <c r="F112" s="99"/>
      <c r="G112" s="62"/>
      <c r="H112" s="58"/>
      <c r="I112" s="523"/>
      <c r="J112" s="525"/>
    </row>
    <row r="113" spans="1:10" x14ac:dyDescent="0.25">
      <c r="A113" s="7">
        <v>9</v>
      </c>
      <c r="B113" s="7" t="s">
        <v>113</v>
      </c>
      <c r="C113" s="58">
        <v>56.12</v>
      </c>
      <c r="D113" s="2">
        <v>1</v>
      </c>
      <c r="E113" s="2" t="s">
        <v>117</v>
      </c>
      <c r="F113" s="99">
        <v>1.25</v>
      </c>
      <c r="G113" s="62">
        <v>14.51</v>
      </c>
      <c r="H113" s="58"/>
      <c r="I113" s="523" t="s">
        <v>1000</v>
      </c>
      <c r="J113" s="525" t="str">
        <f>HYPERLINK("https://www.youtube.com/watch?v=UVVuZUv2OTE", "https://www.youtube.com/watch?v=UVVuZUv2OTE")</f>
        <v>https://www.youtube.com/watch?v=UVVuZUv2OTE</v>
      </c>
    </row>
    <row r="114" spans="1:10" x14ac:dyDescent="0.25">
      <c r="A114" s="7"/>
      <c r="B114" s="7"/>
      <c r="C114" s="58"/>
      <c r="D114" s="2">
        <f t="shared" si="10"/>
        <v>2</v>
      </c>
      <c r="E114" s="2" t="s">
        <v>118</v>
      </c>
      <c r="F114" s="99">
        <f>+G113</f>
        <v>14.51</v>
      </c>
      <c r="G114" s="62">
        <v>28.29</v>
      </c>
      <c r="H114" s="58"/>
      <c r="I114" s="523"/>
      <c r="J114" s="525"/>
    </row>
    <row r="115" spans="1:10" x14ac:dyDescent="0.25">
      <c r="A115" s="7"/>
      <c r="B115" s="7"/>
      <c r="C115" s="58"/>
      <c r="D115" s="2">
        <f t="shared" si="10"/>
        <v>3</v>
      </c>
      <c r="E115" s="2" t="s">
        <v>119</v>
      </c>
      <c r="F115" s="99">
        <f>+G114</f>
        <v>28.29</v>
      </c>
      <c r="G115" s="62">
        <v>47.08</v>
      </c>
      <c r="H115" s="58"/>
      <c r="I115" s="523"/>
      <c r="J115" s="525"/>
    </row>
    <row r="116" spans="1:10" x14ac:dyDescent="0.25">
      <c r="A116" s="7"/>
      <c r="B116" s="7"/>
      <c r="C116" s="58"/>
      <c r="D116" s="2">
        <f t="shared" si="10"/>
        <v>4</v>
      </c>
      <c r="E116" s="2" t="s">
        <v>120</v>
      </c>
      <c r="F116" s="99">
        <f>+G115</f>
        <v>47.08</v>
      </c>
      <c r="G116" s="62">
        <v>55.39</v>
      </c>
      <c r="H116" s="249" t="s">
        <v>823</v>
      </c>
      <c r="I116" s="523"/>
      <c r="J116" s="525"/>
    </row>
    <row r="117" spans="1:10" x14ac:dyDescent="0.25">
      <c r="A117" s="20"/>
      <c r="B117" s="20"/>
      <c r="C117" s="305"/>
      <c r="D117" s="306"/>
      <c r="E117" s="306"/>
      <c r="F117" s="307"/>
      <c r="G117" s="308"/>
      <c r="H117" s="305"/>
      <c r="I117" s="523"/>
      <c r="J117" s="525"/>
    </row>
    <row r="118" spans="1:10" x14ac:dyDescent="0.25">
      <c r="A118" s="7">
        <v>10</v>
      </c>
      <c r="B118" s="7" t="s">
        <v>121</v>
      </c>
      <c r="C118" s="60" t="s">
        <v>629</v>
      </c>
      <c r="D118" s="2">
        <v>1</v>
      </c>
      <c r="E118" s="2" t="s">
        <v>122</v>
      </c>
      <c r="F118" s="99">
        <v>1.07</v>
      </c>
      <c r="G118" s="62">
        <v>9.09</v>
      </c>
      <c r="H118" s="58"/>
      <c r="I118" s="523" t="s">
        <v>1001</v>
      </c>
      <c r="J118" s="525" t="str">
        <f>HYPERLINK("https://www.youtube.com/watch?v=o71Tr1zdJA8", "https://www.youtube.com/watch?v=o71Tr1zdJA8")</f>
        <v>https://www.youtube.com/watch?v=o71Tr1zdJA8</v>
      </c>
    </row>
    <row r="119" spans="1:10" x14ac:dyDescent="0.25">
      <c r="A119" s="7"/>
      <c r="B119" s="7"/>
      <c r="C119" s="58"/>
      <c r="D119" s="2">
        <f>+D118+1</f>
        <v>2</v>
      </c>
      <c r="E119" s="2" t="s">
        <v>123</v>
      </c>
      <c r="F119" s="99">
        <f>+G118</f>
        <v>9.09</v>
      </c>
      <c r="G119" s="62">
        <v>31.36</v>
      </c>
      <c r="H119" s="58" t="s">
        <v>126</v>
      </c>
      <c r="I119" s="523"/>
      <c r="J119" s="525"/>
    </row>
    <row r="120" spans="1:10" x14ac:dyDescent="0.25">
      <c r="A120" s="7"/>
      <c r="B120" s="7"/>
      <c r="C120" s="58"/>
      <c r="D120" s="2">
        <f>+D119+1</f>
        <v>3</v>
      </c>
      <c r="E120" s="2" t="s">
        <v>124</v>
      </c>
      <c r="F120" s="99">
        <v>35.130000000000003</v>
      </c>
      <c r="G120" s="62">
        <v>47.24</v>
      </c>
      <c r="H120" s="250"/>
      <c r="I120" s="523"/>
      <c r="J120" s="525"/>
    </row>
    <row r="121" spans="1:10" x14ac:dyDescent="0.25">
      <c r="A121" s="20"/>
      <c r="B121" s="20"/>
      <c r="C121" s="305"/>
      <c r="D121" s="306">
        <f>+D120+1</f>
        <v>4</v>
      </c>
      <c r="E121" s="306" t="s">
        <v>125</v>
      </c>
      <c r="F121" s="307">
        <f>+G120</f>
        <v>47.24</v>
      </c>
      <c r="G121" s="308">
        <v>59.38</v>
      </c>
      <c r="H121" s="310" t="s">
        <v>185</v>
      </c>
      <c r="I121" s="523"/>
      <c r="J121" s="525"/>
    </row>
    <row r="122" spans="1:10" x14ac:dyDescent="0.25">
      <c r="A122" s="7"/>
      <c r="B122" s="7"/>
      <c r="C122" s="58"/>
      <c r="D122" s="2"/>
      <c r="E122" s="2"/>
      <c r="F122" s="99"/>
      <c r="G122" s="62"/>
      <c r="H122" s="58"/>
      <c r="I122" s="523"/>
      <c r="J122" s="525"/>
    </row>
    <row r="123" spans="1:10" x14ac:dyDescent="0.25">
      <c r="A123" s="7">
        <v>11</v>
      </c>
      <c r="B123" s="7" t="s">
        <v>127</v>
      </c>
      <c r="C123" s="58">
        <v>58.03</v>
      </c>
      <c r="D123" s="2">
        <v>1</v>
      </c>
      <c r="E123" s="2" t="s">
        <v>128</v>
      </c>
      <c r="F123" s="99">
        <v>1.07</v>
      </c>
      <c r="G123" s="62">
        <v>5.59</v>
      </c>
      <c r="H123" s="58" t="s">
        <v>822</v>
      </c>
      <c r="I123" s="523" t="s">
        <v>1002</v>
      </c>
      <c r="J123" s="525" t="str">
        <f>HYPERLINK("https://www.youtube.com/watch?v=ghDems5CmHo", "https://www.youtube.com/watch?v=ghDems5CmHo")</f>
        <v>https://www.youtube.com/watch?v=ghDems5CmHo</v>
      </c>
    </row>
    <row r="124" spans="1:10" x14ac:dyDescent="0.25">
      <c r="A124" s="7"/>
      <c r="B124" s="7"/>
      <c r="C124" s="58"/>
      <c r="D124" s="2">
        <f>+D123+1</f>
        <v>2</v>
      </c>
      <c r="E124" s="2" t="s">
        <v>129</v>
      </c>
      <c r="F124" s="99">
        <f>+G123</f>
        <v>5.59</v>
      </c>
      <c r="G124" s="62">
        <v>15.35</v>
      </c>
      <c r="H124" s="251" t="s">
        <v>137</v>
      </c>
      <c r="I124" s="523"/>
      <c r="J124" s="525"/>
    </row>
    <row r="125" spans="1:10" x14ac:dyDescent="0.25">
      <c r="A125" s="7"/>
      <c r="B125" s="7"/>
      <c r="C125" s="58"/>
      <c r="D125" s="2">
        <f>+D124+1</f>
        <v>3</v>
      </c>
      <c r="E125" s="2" t="s">
        <v>130</v>
      </c>
      <c r="F125" s="99">
        <v>20.21</v>
      </c>
      <c r="G125" s="62">
        <v>34.299999999999997</v>
      </c>
      <c r="H125" s="58"/>
      <c r="I125" s="523"/>
      <c r="J125" s="525"/>
    </row>
    <row r="126" spans="1:10" x14ac:dyDescent="0.25">
      <c r="A126" s="7"/>
      <c r="B126" s="7"/>
      <c r="C126" s="58"/>
      <c r="D126" s="2">
        <f>+D125+1</f>
        <v>4</v>
      </c>
      <c r="E126" s="2" t="s">
        <v>131</v>
      </c>
      <c r="F126" s="99">
        <f>+G125</f>
        <v>34.299999999999997</v>
      </c>
      <c r="G126" s="62">
        <v>43.32</v>
      </c>
      <c r="H126" s="58"/>
      <c r="I126" s="523"/>
      <c r="J126" s="525"/>
    </row>
    <row r="127" spans="1:10" x14ac:dyDescent="0.25">
      <c r="A127" s="20"/>
      <c r="B127" s="20"/>
      <c r="C127" s="305"/>
      <c r="D127" s="306">
        <f>+D126+1</f>
        <v>5</v>
      </c>
      <c r="E127" s="306" t="s">
        <v>132</v>
      </c>
      <c r="F127" s="307">
        <f>+G126</f>
        <v>43.32</v>
      </c>
      <c r="G127" s="308">
        <v>56.45</v>
      </c>
      <c r="H127" s="305" t="s">
        <v>839</v>
      </c>
      <c r="I127" s="523"/>
      <c r="J127" s="525"/>
    </row>
    <row r="128" spans="1:10" x14ac:dyDescent="0.25">
      <c r="A128" s="7"/>
      <c r="B128" s="7"/>
      <c r="C128" s="58"/>
      <c r="D128" s="2"/>
      <c r="E128" s="2"/>
      <c r="F128" s="99"/>
      <c r="G128" s="62"/>
      <c r="H128" s="58"/>
      <c r="I128" s="523"/>
      <c r="J128" s="525"/>
    </row>
    <row r="129" spans="1:10" x14ac:dyDescent="0.25">
      <c r="A129" s="7">
        <v>12</v>
      </c>
      <c r="B129" s="26" t="s">
        <v>133</v>
      </c>
      <c r="C129" s="61" t="s">
        <v>135</v>
      </c>
      <c r="D129" s="2">
        <v>1</v>
      </c>
      <c r="E129" s="100" t="s">
        <v>134</v>
      </c>
      <c r="F129" s="99">
        <v>4.1900000000000004</v>
      </c>
      <c r="G129" s="62">
        <v>13.13</v>
      </c>
      <c r="H129" s="58"/>
      <c r="I129" s="523" t="s">
        <v>1003</v>
      </c>
      <c r="J129" s="525" t="str">
        <f>HYPERLINK("https://www.youtube.com/watch?v=muDPB_WlRUY", "https://www.youtube.com/watch?v=muDPB_WlRUY")</f>
        <v>https://www.youtube.com/watch?v=muDPB_WlRUY</v>
      </c>
    </row>
    <row r="130" spans="1:10" x14ac:dyDescent="0.25">
      <c r="A130" s="7"/>
      <c r="B130" s="7"/>
      <c r="C130" s="58"/>
      <c r="D130" s="2">
        <f>+D129+1</f>
        <v>2</v>
      </c>
      <c r="E130" s="100" t="s">
        <v>136</v>
      </c>
      <c r="F130" s="99">
        <f>+G129</f>
        <v>13.13</v>
      </c>
      <c r="G130" s="62">
        <v>25</v>
      </c>
      <c r="H130" s="61" t="s">
        <v>137</v>
      </c>
      <c r="I130" s="523"/>
      <c r="J130" s="525"/>
    </row>
    <row r="131" spans="1:10" x14ac:dyDescent="0.25">
      <c r="A131" s="7"/>
      <c r="B131" s="7"/>
      <c r="C131" s="58"/>
      <c r="D131" s="2">
        <f>+D130+1</f>
        <v>3</v>
      </c>
      <c r="E131" s="100" t="s">
        <v>138</v>
      </c>
      <c r="F131" s="99">
        <v>29</v>
      </c>
      <c r="G131" s="62">
        <v>42.37</v>
      </c>
      <c r="H131" s="58"/>
      <c r="I131" s="523"/>
      <c r="J131" s="525"/>
    </row>
    <row r="132" spans="1:10" x14ac:dyDescent="0.25">
      <c r="A132" s="7"/>
      <c r="B132" s="7"/>
      <c r="C132" s="58"/>
      <c r="D132" s="2">
        <f>+D131+1</f>
        <v>4</v>
      </c>
      <c r="E132" s="100" t="s">
        <v>139</v>
      </c>
      <c r="F132" s="99">
        <f>+G131</f>
        <v>42.37</v>
      </c>
      <c r="G132" s="62">
        <v>55.03</v>
      </c>
      <c r="H132" s="58"/>
      <c r="I132" s="523"/>
      <c r="J132" s="525"/>
    </row>
    <row r="133" spans="1:10" x14ac:dyDescent="0.25">
      <c r="A133" s="20"/>
      <c r="B133" s="20"/>
      <c r="C133" s="305"/>
      <c r="D133" s="306">
        <f>+D132+1</f>
        <v>5</v>
      </c>
      <c r="E133" s="314" t="s">
        <v>140</v>
      </c>
      <c r="F133" s="307">
        <f>+G132</f>
        <v>55.03</v>
      </c>
      <c r="G133" s="308">
        <v>59.01</v>
      </c>
      <c r="H133" s="315" t="s">
        <v>840</v>
      </c>
      <c r="I133" s="523"/>
      <c r="J133" s="525"/>
    </row>
    <row r="134" spans="1:10" x14ac:dyDescent="0.25">
      <c r="A134" s="7"/>
      <c r="B134" s="7"/>
      <c r="C134" s="58"/>
      <c r="D134" s="2"/>
      <c r="E134" s="2"/>
      <c r="F134" s="99"/>
      <c r="G134" s="62"/>
      <c r="H134" s="58"/>
      <c r="I134" s="523"/>
      <c r="J134" s="525"/>
    </row>
    <row r="135" spans="1:10" x14ac:dyDescent="0.25">
      <c r="A135" s="7">
        <v>13</v>
      </c>
      <c r="B135" s="26" t="s">
        <v>141</v>
      </c>
      <c r="C135" s="58">
        <v>55.29</v>
      </c>
      <c r="D135" s="2">
        <v>1</v>
      </c>
      <c r="E135" s="100" t="s">
        <v>142</v>
      </c>
      <c r="F135" s="99">
        <v>1.03</v>
      </c>
      <c r="G135" s="62">
        <v>12.19</v>
      </c>
      <c r="H135" s="58"/>
      <c r="I135" s="523" t="s">
        <v>1004</v>
      </c>
      <c r="J135" s="525" t="str">
        <f>HYPERLINK("https://www.youtube.com/watch?v=MBWldLzIEq4", "https://www.youtube.com/watch?v=MBWldLzIEq4")</f>
        <v>https://www.youtube.com/watch?v=MBWldLzIEq4</v>
      </c>
    </row>
    <row r="136" spans="1:10" x14ac:dyDescent="0.25">
      <c r="A136" s="7"/>
      <c r="B136" s="7"/>
      <c r="C136" s="58"/>
      <c r="D136" s="2">
        <f t="shared" ref="D136:D141" si="11">+D135+1</f>
        <v>2</v>
      </c>
      <c r="E136" s="100" t="s">
        <v>143</v>
      </c>
      <c r="F136" s="99">
        <f>+G135</f>
        <v>12.19</v>
      </c>
      <c r="G136" s="62">
        <v>33.57</v>
      </c>
      <c r="H136" s="58"/>
      <c r="I136" s="523"/>
      <c r="J136" s="525"/>
    </row>
    <row r="137" spans="1:10" x14ac:dyDescent="0.25">
      <c r="A137" s="20"/>
      <c r="B137" s="20"/>
      <c r="C137" s="305"/>
      <c r="D137" s="306">
        <f t="shared" si="11"/>
        <v>3</v>
      </c>
      <c r="E137" s="316" t="s">
        <v>184</v>
      </c>
      <c r="F137" s="307">
        <v>37.549999999999997</v>
      </c>
      <c r="G137" s="308">
        <v>54.17</v>
      </c>
      <c r="H137" s="310" t="s">
        <v>144</v>
      </c>
      <c r="I137" s="523"/>
      <c r="J137" s="525"/>
    </row>
    <row r="138" spans="1:10" x14ac:dyDescent="0.25">
      <c r="A138" s="7"/>
      <c r="B138" s="7"/>
      <c r="C138" s="58"/>
      <c r="D138" s="2"/>
      <c r="E138" s="2"/>
      <c r="F138" s="99"/>
      <c r="G138" s="62"/>
      <c r="H138" s="58"/>
      <c r="I138" s="523"/>
      <c r="J138" s="525"/>
    </row>
    <row r="139" spans="1:10" x14ac:dyDescent="0.25">
      <c r="A139" s="7">
        <v>14</v>
      </c>
      <c r="B139" s="26" t="s">
        <v>145</v>
      </c>
      <c r="C139" s="58">
        <v>52.46</v>
      </c>
      <c r="D139" s="2">
        <v>1</v>
      </c>
      <c r="E139" s="100" t="s">
        <v>146</v>
      </c>
      <c r="F139" s="99">
        <v>1.05</v>
      </c>
      <c r="G139" s="62">
        <v>8.07</v>
      </c>
      <c r="H139" s="58"/>
      <c r="I139" s="523" t="s">
        <v>1005</v>
      </c>
      <c r="J139" s="525" t="str">
        <f>HYPERLINK("https://www.youtube.com/watch?v=hXiQbjWFzLM", "https://www.youtube.com/watch?v=hXiQbjWFzLM")</f>
        <v>https://www.youtube.com/watch?v=hXiQbjWFzLM</v>
      </c>
    </row>
    <row r="140" spans="1:10" x14ac:dyDescent="0.25">
      <c r="A140" s="7"/>
      <c r="B140" s="7"/>
      <c r="C140" s="58"/>
      <c r="D140" s="2">
        <f t="shared" si="11"/>
        <v>2</v>
      </c>
      <c r="E140" s="100" t="s">
        <v>147</v>
      </c>
      <c r="F140" s="99">
        <f>+G139</f>
        <v>8.07</v>
      </c>
      <c r="G140" s="62">
        <v>26.55</v>
      </c>
      <c r="H140" s="58" t="s">
        <v>917</v>
      </c>
      <c r="I140" s="523"/>
      <c r="J140" s="525"/>
    </row>
    <row r="141" spans="1:10" x14ac:dyDescent="0.25">
      <c r="A141" s="7"/>
      <c r="B141" s="7"/>
      <c r="C141" s="58"/>
      <c r="D141" s="2">
        <f t="shared" si="11"/>
        <v>3</v>
      </c>
      <c r="E141" s="100" t="s">
        <v>149</v>
      </c>
      <c r="F141" s="99">
        <v>28.53</v>
      </c>
      <c r="G141" s="62">
        <v>48.25</v>
      </c>
      <c r="H141" s="58"/>
      <c r="I141" s="523"/>
      <c r="J141" s="525"/>
    </row>
    <row r="142" spans="1:10" x14ac:dyDescent="0.25">
      <c r="A142" s="20"/>
      <c r="B142" s="20"/>
      <c r="C142" s="305"/>
      <c r="D142" s="306">
        <v>4</v>
      </c>
      <c r="E142" s="314" t="s">
        <v>150</v>
      </c>
      <c r="F142" s="307">
        <f>+G141</f>
        <v>48.25</v>
      </c>
      <c r="G142" s="308">
        <v>51.34</v>
      </c>
      <c r="H142" s="310" t="s">
        <v>150</v>
      </c>
      <c r="I142" s="523"/>
      <c r="J142" s="525"/>
    </row>
    <row r="143" spans="1:10" x14ac:dyDescent="0.25">
      <c r="A143" s="7"/>
      <c r="B143" s="7"/>
      <c r="C143" s="58"/>
      <c r="D143" s="2"/>
      <c r="E143" s="2"/>
      <c r="F143" s="99"/>
      <c r="G143" s="62"/>
      <c r="H143" s="58"/>
      <c r="I143" s="523"/>
      <c r="J143" s="525"/>
    </row>
    <row r="144" spans="1:10" x14ac:dyDescent="0.25">
      <c r="A144" s="7">
        <v>15</v>
      </c>
      <c r="B144" s="26" t="s">
        <v>148</v>
      </c>
      <c r="C144" s="58">
        <v>59.01</v>
      </c>
      <c r="D144" s="2">
        <v>1</v>
      </c>
      <c r="E144" s="100" t="s">
        <v>151</v>
      </c>
      <c r="F144" s="99">
        <v>6.1</v>
      </c>
      <c r="G144" s="62">
        <v>18.02</v>
      </c>
      <c r="H144" s="58"/>
      <c r="I144" s="523" t="s">
        <v>1006</v>
      </c>
      <c r="J144" s="525" t="str">
        <f>HYPERLINK("https://www.youtube.com/watch?v=6H33Rf5PGE8", "https://www.youtube.com/watch?v=6H33Rf5PGE8")</f>
        <v>https://www.youtube.com/watch?v=6H33Rf5PGE8</v>
      </c>
    </row>
    <row r="145" spans="1:10" x14ac:dyDescent="0.25">
      <c r="A145" s="7"/>
      <c r="B145" s="7"/>
      <c r="C145" s="58"/>
      <c r="D145" s="2">
        <f>+D144+1</f>
        <v>2</v>
      </c>
      <c r="E145" s="100" t="s">
        <v>152</v>
      </c>
      <c r="F145" s="99">
        <f>+G144</f>
        <v>18.02</v>
      </c>
      <c r="G145" s="62">
        <v>36.36</v>
      </c>
      <c r="H145" s="58"/>
      <c r="I145" s="523"/>
      <c r="J145" s="525"/>
    </row>
    <row r="146" spans="1:10" x14ac:dyDescent="0.25">
      <c r="A146" s="20"/>
      <c r="B146" s="317" t="s">
        <v>839</v>
      </c>
      <c r="C146" s="305"/>
      <c r="D146" s="306">
        <v>3</v>
      </c>
      <c r="E146" s="314" t="s">
        <v>153</v>
      </c>
      <c r="F146" s="307">
        <f>+G145</f>
        <v>36.36</v>
      </c>
      <c r="G146" s="308">
        <v>57.03</v>
      </c>
      <c r="H146" s="305"/>
      <c r="I146" s="523"/>
      <c r="J146" s="525"/>
    </row>
    <row r="147" spans="1:10" x14ac:dyDescent="0.25">
      <c r="A147" s="7"/>
      <c r="B147" s="7"/>
      <c r="C147" s="58"/>
      <c r="D147" s="2"/>
      <c r="E147" s="2"/>
      <c r="F147" s="99"/>
      <c r="G147" s="62"/>
      <c r="H147" s="58"/>
      <c r="I147" s="523"/>
      <c r="J147" s="525"/>
    </row>
    <row r="148" spans="1:10" x14ac:dyDescent="0.25">
      <c r="A148" s="7">
        <v>16</v>
      </c>
      <c r="B148" s="26" t="s">
        <v>154</v>
      </c>
      <c r="C148" s="58">
        <v>57.52</v>
      </c>
      <c r="D148" s="2">
        <v>1</v>
      </c>
      <c r="E148" s="100" t="s">
        <v>155</v>
      </c>
      <c r="F148" s="99">
        <v>4.5</v>
      </c>
      <c r="G148" s="62">
        <v>8.2200000000000006</v>
      </c>
      <c r="H148" s="58"/>
      <c r="I148" s="523" t="s">
        <v>1007</v>
      </c>
      <c r="J148" s="525" t="str">
        <f>HYPERLINK("https://www.youtube.com/watch?v=e2nHk8rAanY", "https://www.youtube.com/watch?v=e2nHk8rAanY")</f>
        <v>https://www.youtube.com/watch?v=e2nHk8rAanY</v>
      </c>
    </row>
    <row r="149" spans="1:10" x14ac:dyDescent="0.25">
      <c r="A149" s="7"/>
      <c r="B149" s="7"/>
      <c r="C149" s="58"/>
      <c r="D149" s="2">
        <f>+D148+1</f>
        <v>2</v>
      </c>
      <c r="E149" s="101" t="s">
        <v>156</v>
      </c>
      <c r="F149" s="99">
        <f>+G148</f>
        <v>8.2200000000000006</v>
      </c>
      <c r="G149" s="62">
        <v>22.09</v>
      </c>
      <c r="H149" s="58"/>
      <c r="I149" s="523"/>
      <c r="J149" s="525"/>
    </row>
    <row r="150" spans="1:10" x14ac:dyDescent="0.25">
      <c r="A150" s="7"/>
      <c r="B150" s="7"/>
      <c r="C150" s="58"/>
      <c r="D150" s="2">
        <f>+D149+1</f>
        <v>3</v>
      </c>
      <c r="E150" s="101" t="s">
        <v>157</v>
      </c>
      <c r="F150" s="99">
        <f>+G149</f>
        <v>22.09</v>
      </c>
      <c r="G150" s="62">
        <v>45.27</v>
      </c>
      <c r="H150" s="58"/>
      <c r="I150" s="523"/>
      <c r="J150" s="525"/>
    </row>
    <row r="151" spans="1:10" x14ac:dyDescent="0.25">
      <c r="A151" s="7"/>
      <c r="B151" s="7"/>
      <c r="C151" s="58"/>
      <c r="D151" s="2">
        <f>+D150+1</f>
        <v>4</v>
      </c>
      <c r="E151" s="101" t="s">
        <v>158</v>
      </c>
      <c r="F151" s="99">
        <f>+G150</f>
        <v>45.27</v>
      </c>
      <c r="G151" s="62">
        <v>52.3</v>
      </c>
      <c r="H151" s="58"/>
      <c r="I151" s="523"/>
      <c r="J151" s="525"/>
    </row>
    <row r="152" spans="1:10" x14ac:dyDescent="0.25">
      <c r="A152" s="20"/>
      <c r="B152" s="318" t="s">
        <v>839</v>
      </c>
      <c r="C152" s="305"/>
      <c r="D152" s="306">
        <f>+D151+1</f>
        <v>5</v>
      </c>
      <c r="E152" s="319" t="s">
        <v>159</v>
      </c>
      <c r="F152" s="307">
        <f>+G151</f>
        <v>52.3</v>
      </c>
      <c r="G152" s="308">
        <v>55.39</v>
      </c>
      <c r="H152" s="310" t="s">
        <v>159</v>
      </c>
      <c r="I152" s="523"/>
      <c r="J152" s="525"/>
    </row>
    <row r="153" spans="1:10" x14ac:dyDescent="0.25">
      <c r="A153" s="7"/>
      <c r="B153" s="7"/>
      <c r="C153" s="58"/>
      <c r="D153" s="2"/>
      <c r="E153" s="2"/>
      <c r="F153" s="99"/>
      <c r="G153" s="62"/>
      <c r="H153" s="58"/>
      <c r="I153" s="523"/>
      <c r="J153" s="525"/>
    </row>
    <row r="154" spans="1:10" x14ac:dyDescent="0.25">
      <c r="A154" s="7">
        <v>17</v>
      </c>
      <c r="B154" s="27" t="s">
        <v>160</v>
      </c>
      <c r="C154" s="58">
        <v>54.58</v>
      </c>
      <c r="D154" s="2">
        <v>1</v>
      </c>
      <c r="E154" s="101" t="s">
        <v>161</v>
      </c>
      <c r="F154" s="99">
        <v>4.45</v>
      </c>
      <c r="G154" s="62">
        <v>15.14</v>
      </c>
      <c r="H154" s="58"/>
      <c r="I154" s="523" t="s">
        <v>1008</v>
      </c>
      <c r="J154" s="525" t="str">
        <f>HYPERLINK("https://www.youtube.com/watch?v=vahJu-fNCds", "https://www.youtube.com/watch?v=vahJu-fNCds")</f>
        <v>https://www.youtube.com/watch?v=vahJu-fNCds</v>
      </c>
    </row>
    <row r="155" spans="1:10" x14ac:dyDescent="0.25">
      <c r="A155" s="7"/>
      <c r="B155" s="7"/>
      <c r="C155" s="58"/>
      <c r="D155" s="2">
        <f>+D154+1</f>
        <v>2</v>
      </c>
      <c r="E155" s="101" t="s">
        <v>162</v>
      </c>
      <c r="F155" s="99">
        <f>+G154</f>
        <v>15.14</v>
      </c>
      <c r="G155" s="62">
        <v>22.28</v>
      </c>
      <c r="H155" s="58"/>
      <c r="I155" s="523"/>
      <c r="J155" s="525"/>
    </row>
    <row r="156" spans="1:10" x14ac:dyDescent="0.25">
      <c r="A156" s="7"/>
      <c r="B156" s="7"/>
      <c r="C156" s="58"/>
      <c r="D156" s="2">
        <f>+D155+1</f>
        <v>3</v>
      </c>
      <c r="E156" s="101" t="s">
        <v>163</v>
      </c>
      <c r="F156" s="99">
        <f>+G155</f>
        <v>22.28</v>
      </c>
      <c r="G156" s="62">
        <v>31.35</v>
      </c>
      <c r="H156" s="58"/>
      <c r="I156" s="523"/>
      <c r="J156" s="525"/>
    </row>
    <row r="157" spans="1:10" x14ac:dyDescent="0.25">
      <c r="A157" s="7"/>
      <c r="B157" s="7"/>
      <c r="C157" s="58"/>
      <c r="D157" s="2">
        <f>+D156+1</f>
        <v>4</v>
      </c>
      <c r="E157" s="101" t="s">
        <v>164</v>
      </c>
      <c r="F157" s="99">
        <f>+G156</f>
        <v>31.35</v>
      </c>
      <c r="G157" s="62">
        <v>39.4</v>
      </c>
      <c r="H157" s="58"/>
      <c r="I157" s="523"/>
      <c r="J157" s="525"/>
    </row>
    <row r="158" spans="1:10" x14ac:dyDescent="0.25">
      <c r="A158" s="7"/>
      <c r="B158" s="7"/>
      <c r="C158" s="58"/>
      <c r="D158" s="2">
        <f>+D157+1</f>
        <v>5</v>
      </c>
      <c r="E158" s="101" t="s">
        <v>165</v>
      </c>
      <c r="F158" s="99">
        <f>+G157</f>
        <v>39.4</v>
      </c>
      <c r="G158" s="62">
        <v>47.26</v>
      </c>
      <c r="H158" s="58"/>
      <c r="I158" s="523"/>
      <c r="J158" s="525"/>
    </row>
    <row r="159" spans="1:10" x14ac:dyDescent="0.25">
      <c r="A159" s="20"/>
      <c r="B159" s="55"/>
      <c r="C159" s="305"/>
      <c r="D159" s="306">
        <f>+D158+1</f>
        <v>6</v>
      </c>
      <c r="E159" s="319" t="s">
        <v>166</v>
      </c>
      <c r="F159" s="307">
        <f>+G158</f>
        <v>47.26</v>
      </c>
      <c r="G159" s="308">
        <v>53.04</v>
      </c>
      <c r="H159" s="310" t="s">
        <v>183</v>
      </c>
      <c r="I159" s="523"/>
      <c r="J159" s="525"/>
    </row>
    <row r="160" spans="1:10" x14ac:dyDescent="0.25">
      <c r="A160" s="7"/>
      <c r="B160" s="7"/>
      <c r="C160" s="58"/>
      <c r="D160" s="2"/>
      <c r="E160" s="2"/>
      <c r="F160" s="99"/>
      <c r="G160" s="62"/>
      <c r="H160" s="58"/>
      <c r="I160" s="523"/>
      <c r="J160" s="525"/>
    </row>
    <row r="161" spans="1:10" x14ac:dyDescent="0.25">
      <c r="A161" s="7">
        <v>18</v>
      </c>
      <c r="B161" s="27" t="s">
        <v>167</v>
      </c>
      <c r="C161" s="58">
        <v>53.45</v>
      </c>
      <c r="D161" s="2">
        <v>1</v>
      </c>
      <c r="E161" s="101" t="s">
        <v>168</v>
      </c>
      <c r="F161" s="99">
        <v>5.18</v>
      </c>
      <c r="G161" s="62">
        <v>15.05</v>
      </c>
      <c r="H161" s="58" t="s">
        <v>839</v>
      </c>
      <c r="I161" s="523" t="s">
        <v>1009</v>
      </c>
      <c r="J161" s="525" t="str">
        <f>HYPERLINK("https://www.youtube.com/watch?v=-gsoch55Jfw", "https://www.youtube.com/watch?v=-gsoch55Jfw")</f>
        <v>https://www.youtube.com/watch?v=-gsoch55Jfw</v>
      </c>
    </row>
    <row r="162" spans="1:10" x14ac:dyDescent="0.25">
      <c r="A162" s="7"/>
      <c r="B162" s="7"/>
      <c r="C162" s="58"/>
      <c r="D162" s="2">
        <f t="shared" ref="D162:D167" si="12">+D161+1</f>
        <v>2</v>
      </c>
      <c r="E162" s="101" t="s">
        <v>169</v>
      </c>
      <c r="F162" s="99">
        <f t="shared" ref="F162:F167" si="13">+G161</f>
        <v>15.05</v>
      </c>
      <c r="G162" s="62">
        <v>21.48</v>
      </c>
      <c r="H162" s="58"/>
      <c r="I162" s="523"/>
      <c r="J162" s="525"/>
    </row>
    <row r="163" spans="1:10" x14ac:dyDescent="0.25">
      <c r="A163" s="7"/>
      <c r="B163" s="7"/>
      <c r="C163" s="58"/>
      <c r="D163" s="2">
        <f t="shared" si="12"/>
        <v>3</v>
      </c>
      <c r="E163" s="101" t="s">
        <v>170</v>
      </c>
      <c r="F163" s="99">
        <f t="shared" si="13"/>
        <v>21.48</v>
      </c>
      <c r="G163" s="62">
        <v>23.36</v>
      </c>
      <c r="H163" s="58"/>
      <c r="I163" s="523"/>
      <c r="J163" s="525"/>
    </row>
    <row r="164" spans="1:10" x14ac:dyDescent="0.25">
      <c r="A164" s="7"/>
      <c r="B164" s="7"/>
      <c r="C164" s="58"/>
      <c r="D164" s="2">
        <f t="shared" si="12"/>
        <v>4</v>
      </c>
      <c r="E164" s="101" t="s">
        <v>171</v>
      </c>
      <c r="F164" s="99">
        <f t="shared" si="13"/>
        <v>23.36</v>
      </c>
      <c r="G164" s="62">
        <v>28.1</v>
      </c>
      <c r="H164" s="58"/>
      <c r="I164" s="523"/>
      <c r="J164" s="525"/>
    </row>
    <row r="165" spans="1:10" x14ac:dyDescent="0.25">
      <c r="A165" s="7"/>
      <c r="B165" s="7"/>
      <c r="C165" s="58"/>
      <c r="D165" s="2">
        <f t="shared" si="12"/>
        <v>5</v>
      </c>
      <c r="E165" s="101" t="s">
        <v>172</v>
      </c>
      <c r="F165" s="99">
        <f t="shared" si="13"/>
        <v>28.1</v>
      </c>
      <c r="G165" s="62">
        <v>34.01</v>
      </c>
      <c r="H165" s="58"/>
      <c r="I165" s="523"/>
      <c r="J165" s="525"/>
    </row>
    <row r="166" spans="1:10" x14ac:dyDescent="0.25">
      <c r="A166" s="7"/>
      <c r="B166" s="7"/>
      <c r="C166" s="58"/>
      <c r="D166" s="2">
        <f t="shared" si="12"/>
        <v>6</v>
      </c>
      <c r="E166" s="101" t="s">
        <v>173</v>
      </c>
      <c r="F166" s="99">
        <f t="shared" si="13"/>
        <v>34.01</v>
      </c>
      <c r="G166" s="62">
        <v>42.59</v>
      </c>
      <c r="H166" s="58"/>
      <c r="I166" s="523"/>
      <c r="J166" s="525"/>
    </row>
    <row r="167" spans="1:10" x14ac:dyDescent="0.25">
      <c r="A167" s="20"/>
      <c r="B167" s="20"/>
      <c r="C167" s="305"/>
      <c r="D167" s="306">
        <f t="shared" si="12"/>
        <v>7</v>
      </c>
      <c r="E167" s="319" t="s">
        <v>174</v>
      </c>
      <c r="F167" s="307">
        <f t="shared" si="13"/>
        <v>42.59</v>
      </c>
      <c r="G167" s="308">
        <v>49.25</v>
      </c>
      <c r="H167" s="305"/>
      <c r="I167" s="523"/>
      <c r="J167" s="525"/>
    </row>
    <row r="168" spans="1:10" x14ac:dyDescent="0.25">
      <c r="A168" s="7"/>
      <c r="B168" s="7"/>
      <c r="C168" s="58"/>
      <c r="D168" s="2"/>
      <c r="E168" s="2"/>
      <c r="F168" s="99"/>
      <c r="G168" s="62"/>
      <c r="H168" s="58"/>
      <c r="I168" s="523"/>
      <c r="J168" s="525"/>
    </row>
    <row r="169" spans="1:10" x14ac:dyDescent="0.25">
      <c r="A169" s="7">
        <v>19</v>
      </c>
      <c r="B169" s="27" t="s">
        <v>175</v>
      </c>
      <c r="C169" s="62">
        <v>58.4</v>
      </c>
      <c r="D169" s="2">
        <v>1</v>
      </c>
      <c r="E169" s="101" t="s">
        <v>176</v>
      </c>
      <c r="F169" s="99">
        <v>6.21</v>
      </c>
      <c r="G169" s="62">
        <v>15.15</v>
      </c>
      <c r="H169" s="58"/>
      <c r="I169" s="523" t="s">
        <v>1010</v>
      </c>
      <c r="J169" s="525" t="str">
        <f>HYPERLINK("https://www.youtube.com/watch?v=BXod63nkYIQ", "https://www.youtube.com/watch?v=BXod63nkYIQ")</f>
        <v>https://www.youtube.com/watch?v=BXod63nkYIQ</v>
      </c>
    </row>
    <row r="170" spans="1:10" x14ac:dyDescent="0.25">
      <c r="A170" s="7"/>
      <c r="B170" s="7"/>
      <c r="C170" s="58"/>
      <c r="D170" s="2">
        <f>+D169+1</f>
        <v>2</v>
      </c>
      <c r="E170" s="101" t="s">
        <v>177</v>
      </c>
      <c r="F170" s="99">
        <f>+G169</f>
        <v>15.15</v>
      </c>
      <c r="G170" s="62">
        <v>20.38</v>
      </c>
      <c r="H170" s="58"/>
      <c r="I170" s="523"/>
      <c r="J170" s="525"/>
    </row>
    <row r="171" spans="1:10" x14ac:dyDescent="0.25">
      <c r="A171" s="7"/>
      <c r="B171" s="7"/>
      <c r="C171" s="58"/>
      <c r="D171" s="2">
        <f>+D170+1</f>
        <v>3</v>
      </c>
      <c r="E171" s="101" t="s">
        <v>178</v>
      </c>
      <c r="F171" s="99">
        <f>+G170</f>
        <v>20.38</v>
      </c>
      <c r="G171" s="62">
        <v>32.21</v>
      </c>
      <c r="H171" s="58"/>
      <c r="I171" s="523"/>
      <c r="J171" s="525"/>
    </row>
    <row r="172" spans="1:10" x14ac:dyDescent="0.25">
      <c r="A172" s="7"/>
      <c r="B172" s="7"/>
      <c r="C172" s="58"/>
      <c r="D172" s="2">
        <f>+D171+1</f>
        <v>4</v>
      </c>
      <c r="E172" s="101" t="s">
        <v>179</v>
      </c>
      <c r="F172" s="99">
        <f>+G171</f>
        <v>32.21</v>
      </c>
      <c r="G172" s="62">
        <v>42.34</v>
      </c>
      <c r="H172" s="58"/>
      <c r="I172" s="523"/>
      <c r="J172" s="525"/>
    </row>
    <row r="173" spans="1:10" x14ac:dyDescent="0.25">
      <c r="A173" s="7"/>
      <c r="B173" s="7"/>
      <c r="C173" s="58"/>
      <c r="D173" s="2">
        <f>+D172+1</f>
        <v>5</v>
      </c>
      <c r="E173" s="101" t="s">
        <v>180</v>
      </c>
      <c r="F173" s="99">
        <f>+G172</f>
        <v>42.34</v>
      </c>
      <c r="G173" s="62">
        <v>47.05</v>
      </c>
      <c r="H173" s="58"/>
      <c r="I173" s="523"/>
      <c r="J173" s="525"/>
    </row>
    <row r="174" spans="1:10" x14ac:dyDescent="0.25">
      <c r="A174" s="7"/>
      <c r="B174" s="7"/>
      <c r="C174" s="58"/>
      <c r="D174" s="2">
        <f>+D173+1</f>
        <v>6</v>
      </c>
      <c r="E174" s="101" t="s">
        <v>181</v>
      </c>
      <c r="F174" s="99">
        <f>+G173</f>
        <v>47.05</v>
      </c>
      <c r="G174" s="62">
        <v>55.13</v>
      </c>
      <c r="H174" s="252" t="s">
        <v>182</v>
      </c>
      <c r="I174" s="523"/>
      <c r="J174" s="525"/>
    </row>
    <row r="175" spans="1:10" x14ac:dyDescent="0.25">
      <c r="A175" s="20"/>
      <c r="B175" s="20"/>
      <c r="C175" s="305"/>
      <c r="D175" s="306"/>
      <c r="E175" s="306"/>
      <c r="F175" s="307"/>
      <c r="G175" s="308"/>
      <c r="H175" s="305"/>
      <c r="I175" s="523"/>
      <c r="J175" s="525"/>
    </row>
    <row r="176" spans="1:10" x14ac:dyDescent="0.25">
      <c r="A176" s="7">
        <v>20</v>
      </c>
      <c r="B176" s="25">
        <v>44042</v>
      </c>
      <c r="C176" s="58">
        <v>57.06</v>
      </c>
      <c r="D176" s="2">
        <v>1</v>
      </c>
      <c r="E176" s="102" t="s">
        <v>187</v>
      </c>
      <c r="F176" s="99">
        <v>7.48</v>
      </c>
      <c r="G176" s="62">
        <v>11.1</v>
      </c>
      <c r="H176" s="58"/>
      <c r="I176" s="523" t="s">
        <v>1011</v>
      </c>
      <c r="J176" s="525" t="str">
        <f>HYPERLINK("https://www.youtube.com/watch?v=2aerAxZ9ZeE", "https://www.youtube.com/watch?v=2aerAxZ9ZeE")</f>
        <v>https://www.youtube.com/watch?v=2aerAxZ9ZeE</v>
      </c>
    </row>
    <row r="177" spans="1:10" x14ac:dyDescent="0.25">
      <c r="A177" s="7"/>
      <c r="B177" s="7"/>
      <c r="C177" s="58"/>
      <c r="D177" s="2">
        <f t="shared" ref="D177:D182" si="14">+D176+1</f>
        <v>2</v>
      </c>
      <c r="E177" s="102" t="s">
        <v>188</v>
      </c>
      <c r="F177" s="99">
        <f t="shared" ref="F177:F182" si="15">+G176</f>
        <v>11.1</v>
      </c>
      <c r="G177" s="62">
        <v>22.42</v>
      </c>
      <c r="H177" s="58"/>
      <c r="I177" s="523"/>
      <c r="J177" s="525"/>
    </row>
    <row r="178" spans="1:10" x14ac:dyDescent="0.25">
      <c r="A178" s="7"/>
      <c r="B178" s="7"/>
      <c r="C178" s="58"/>
      <c r="D178" s="2">
        <f t="shared" si="14"/>
        <v>3</v>
      </c>
      <c r="E178" s="102" t="s">
        <v>189</v>
      </c>
      <c r="F178" s="99">
        <f t="shared" si="15"/>
        <v>22.42</v>
      </c>
      <c r="G178" s="62">
        <v>29.52</v>
      </c>
      <c r="H178" s="58"/>
      <c r="I178" s="523"/>
      <c r="J178" s="525"/>
    </row>
    <row r="179" spans="1:10" x14ac:dyDescent="0.25">
      <c r="A179" s="7"/>
      <c r="B179" s="7"/>
      <c r="C179" s="58"/>
      <c r="D179" s="2">
        <f t="shared" si="14"/>
        <v>4</v>
      </c>
      <c r="E179" s="102" t="s">
        <v>190</v>
      </c>
      <c r="F179" s="99">
        <f t="shared" si="15"/>
        <v>29.52</v>
      </c>
      <c r="G179" s="62">
        <v>37.020000000000003</v>
      </c>
      <c r="H179" s="58"/>
      <c r="I179" s="523"/>
      <c r="J179" s="525"/>
    </row>
    <row r="180" spans="1:10" x14ac:dyDescent="0.25">
      <c r="A180" s="7"/>
      <c r="B180" s="7"/>
      <c r="C180" s="58"/>
      <c r="D180" s="2">
        <f t="shared" si="14"/>
        <v>5</v>
      </c>
      <c r="E180" s="102" t="s">
        <v>191</v>
      </c>
      <c r="F180" s="99">
        <f t="shared" si="15"/>
        <v>37.020000000000003</v>
      </c>
      <c r="G180" s="62">
        <v>45.22</v>
      </c>
      <c r="H180" s="58"/>
      <c r="I180" s="523"/>
      <c r="J180" s="525"/>
    </row>
    <row r="181" spans="1:10" x14ac:dyDescent="0.25">
      <c r="A181" s="7"/>
      <c r="B181" s="7"/>
      <c r="C181" s="58"/>
      <c r="D181" s="2">
        <f t="shared" si="14"/>
        <v>6</v>
      </c>
      <c r="E181" s="102" t="s">
        <v>192</v>
      </c>
      <c r="F181" s="99">
        <f t="shared" si="15"/>
        <v>45.22</v>
      </c>
      <c r="G181" s="62">
        <v>48.55</v>
      </c>
      <c r="H181" s="58"/>
      <c r="I181" s="523"/>
      <c r="J181" s="525"/>
    </row>
    <row r="182" spans="1:10" x14ac:dyDescent="0.25">
      <c r="A182" s="7"/>
      <c r="B182" s="7"/>
      <c r="C182" s="58"/>
      <c r="D182" s="2">
        <f t="shared" si="14"/>
        <v>7</v>
      </c>
      <c r="E182" s="102" t="s">
        <v>193</v>
      </c>
      <c r="F182" s="99">
        <f t="shared" si="15"/>
        <v>48.55</v>
      </c>
      <c r="G182" s="62">
        <v>54.4</v>
      </c>
      <c r="H182" s="58"/>
      <c r="I182" s="523"/>
      <c r="J182" s="525"/>
    </row>
    <row r="183" spans="1:10" x14ac:dyDescent="0.25">
      <c r="A183" s="20"/>
      <c r="B183" s="20"/>
      <c r="C183" s="305"/>
      <c r="D183" s="306"/>
      <c r="E183" s="306"/>
      <c r="F183" s="307"/>
      <c r="G183" s="308"/>
      <c r="H183" s="305"/>
      <c r="I183" s="523"/>
      <c r="J183" s="525"/>
    </row>
    <row r="184" spans="1:10" x14ac:dyDescent="0.25">
      <c r="A184" s="7">
        <v>21</v>
      </c>
      <c r="B184" s="25">
        <v>44043</v>
      </c>
      <c r="C184" s="58">
        <v>39.44</v>
      </c>
      <c r="D184" s="2">
        <v>1</v>
      </c>
      <c r="E184" s="103" t="s">
        <v>194</v>
      </c>
      <c r="F184" s="99">
        <v>2.04</v>
      </c>
      <c r="G184" s="62">
        <v>6.33</v>
      </c>
      <c r="H184" s="58"/>
      <c r="I184" s="523" t="s">
        <v>1012</v>
      </c>
      <c r="J184" s="525" t="str">
        <f>HYPERLINK("https://www.youtube.com/watch?v=Dvb7hq_Z4ng", "https://www.youtube.com/watch?v=Dvb7hq_Z4ng")</f>
        <v>https://www.youtube.com/watch?v=Dvb7hq_Z4ng</v>
      </c>
    </row>
    <row r="185" spans="1:10" x14ac:dyDescent="0.25">
      <c r="A185" s="7"/>
      <c r="B185" s="7"/>
      <c r="C185" s="58"/>
      <c r="D185" s="2">
        <f>+D184+1</f>
        <v>2</v>
      </c>
      <c r="E185" s="103" t="s">
        <v>195</v>
      </c>
      <c r="F185" s="99">
        <f>+G184</f>
        <v>6.33</v>
      </c>
      <c r="G185" s="62">
        <v>9.34</v>
      </c>
      <c r="H185" s="58"/>
      <c r="J185" s="525"/>
    </row>
    <row r="186" spans="1:10" x14ac:dyDescent="0.25">
      <c r="A186" s="7"/>
      <c r="B186" s="7"/>
      <c r="C186" s="58"/>
      <c r="D186" s="2">
        <f>+D185+1</f>
        <v>3</v>
      </c>
      <c r="E186" s="103" t="s">
        <v>196</v>
      </c>
      <c r="F186" s="99">
        <f>+G185</f>
        <v>9.34</v>
      </c>
      <c r="G186" s="62"/>
      <c r="H186" s="58"/>
      <c r="J186" s="525"/>
    </row>
    <row r="187" spans="1:10" x14ac:dyDescent="0.25">
      <c r="A187" s="20"/>
      <c r="B187" s="20"/>
      <c r="C187" s="305"/>
      <c r="D187" s="306">
        <f>+D186+1</f>
        <v>4</v>
      </c>
      <c r="E187" s="320" t="s">
        <v>197</v>
      </c>
      <c r="F187" s="307">
        <f>+G186</f>
        <v>0</v>
      </c>
      <c r="G187" s="308"/>
      <c r="H187" s="305"/>
      <c r="J187" s="525"/>
    </row>
    <row r="188" spans="1:10" x14ac:dyDescent="0.25">
      <c r="A188" s="6"/>
      <c r="B188" s="321"/>
      <c r="C188" s="322"/>
      <c r="D188" s="323"/>
      <c r="E188" s="324"/>
      <c r="F188" s="325"/>
      <c r="G188" s="326"/>
      <c r="H188" s="322"/>
      <c r="I188" s="322"/>
    </row>
    <row r="189" spans="1:10" x14ac:dyDescent="0.25">
      <c r="A189" s="7">
        <v>22</v>
      </c>
      <c r="B189" s="29">
        <v>44044</v>
      </c>
      <c r="C189" s="64">
        <v>57.24</v>
      </c>
      <c r="D189" s="2">
        <v>1</v>
      </c>
      <c r="E189" s="106" t="s">
        <v>198</v>
      </c>
      <c r="F189" s="107">
        <v>1</v>
      </c>
      <c r="G189" s="108">
        <v>22.28</v>
      </c>
      <c r="H189" s="64"/>
      <c r="I189" s="64" t="s">
        <v>199</v>
      </c>
      <c r="J189" s="529" t="s">
        <v>199</v>
      </c>
    </row>
    <row r="190" spans="1:10" x14ac:dyDescent="0.25">
      <c r="A190" s="7"/>
      <c r="B190" s="29"/>
      <c r="C190" s="64"/>
      <c r="D190" s="2">
        <f>+D189+1</f>
        <v>2</v>
      </c>
      <c r="E190" s="106" t="s">
        <v>200</v>
      </c>
      <c r="F190" s="107">
        <f>+G189</f>
        <v>22.28</v>
      </c>
      <c r="G190" s="108">
        <v>53.37</v>
      </c>
      <c r="H190" s="64"/>
      <c r="I190" s="64"/>
      <c r="J190" s="530"/>
    </row>
    <row r="191" spans="1:10" x14ac:dyDescent="0.25">
      <c r="A191" s="7"/>
      <c r="B191" s="29"/>
      <c r="C191" s="64"/>
      <c r="D191" s="2">
        <f>+D190+1</f>
        <v>3</v>
      </c>
      <c r="E191" s="106" t="s">
        <v>201</v>
      </c>
      <c r="F191" s="107">
        <f>+G190</f>
        <v>53.37</v>
      </c>
      <c r="G191" s="108">
        <v>56.43</v>
      </c>
      <c r="H191" s="66" t="s">
        <v>201</v>
      </c>
      <c r="I191" s="64"/>
      <c r="J191" s="530"/>
    </row>
    <row r="192" spans="1:10" x14ac:dyDescent="0.25">
      <c r="A192" s="20"/>
      <c r="B192" s="327"/>
      <c r="C192" s="328"/>
      <c r="D192" s="306"/>
      <c r="E192" s="329"/>
      <c r="F192" s="330"/>
      <c r="G192" s="331"/>
      <c r="H192" s="328"/>
      <c r="I192" s="328"/>
      <c r="J192" s="530"/>
    </row>
    <row r="193" spans="1:10" x14ac:dyDescent="0.25">
      <c r="A193" s="7">
        <v>23</v>
      </c>
      <c r="B193" s="29">
        <v>44045</v>
      </c>
      <c r="C193" s="64">
        <v>59.23</v>
      </c>
      <c r="D193" s="2">
        <v>1</v>
      </c>
      <c r="E193" s="109" t="s">
        <v>203</v>
      </c>
      <c r="F193" s="107">
        <v>1.25</v>
      </c>
      <c r="G193" s="108">
        <v>16.13</v>
      </c>
      <c r="H193" s="64"/>
      <c r="I193" s="64" t="s">
        <v>202</v>
      </c>
      <c r="J193" s="531" t="s">
        <v>202</v>
      </c>
    </row>
    <row r="194" spans="1:10" x14ac:dyDescent="0.25">
      <c r="A194" s="7"/>
      <c r="B194" s="29"/>
      <c r="C194" s="64"/>
      <c r="D194" s="2">
        <f>+D193+1</f>
        <v>2</v>
      </c>
      <c r="E194" s="109" t="s">
        <v>204</v>
      </c>
      <c r="F194" s="107">
        <f>+G193</f>
        <v>16.13</v>
      </c>
      <c r="G194" s="108">
        <v>43.12</v>
      </c>
      <c r="H194" s="253" t="s">
        <v>137</v>
      </c>
      <c r="I194" s="64"/>
      <c r="J194" s="530"/>
    </row>
    <row r="195" spans="1:10" x14ac:dyDescent="0.25">
      <c r="A195" s="7"/>
      <c r="B195" s="29"/>
      <c r="C195" s="64"/>
      <c r="D195" s="2">
        <f>+D194+1</f>
        <v>3</v>
      </c>
      <c r="E195" s="109" t="s">
        <v>205</v>
      </c>
      <c r="F195" s="107">
        <v>45.55</v>
      </c>
      <c r="G195" s="108">
        <v>58.23</v>
      </c>
      <c r="H195" s="253" t="s">
        <v>206</v>
      </c>
      <c r="I195" s="64"/>
      <c r="J195" s="530"/>
    </row>
    <row r="196" spans="1:10" x14ac:dyDescent="0.25">
      <c r="A196" s="20"/>
      <c r="B196" s="327"/>
      <c r="C196" s="328"/>
      <c r="D196" s="306"/>
      <c r="E196" s="329"/>
      <c r="F196" s="330"/>
      <c r="G196" s="331"/>
      <c r="H196" s="328"/>
      <c r="I196" s="328"/>
      <c r="J196" s="530"/>
    </row>
    <row r="197" spans="1:10" x14ac:dyDescent="0.25">
      <c r="A197" s="7">
        <v>24</v>
      </c>
      <c r="B197" s="29">
        <v>44046</v>
      </c>
      <c r="C197" s="64">
        <v>44.33</v>
      </c>
      <c r="D197" s="2">
        <v>1</v>
      </c>
      <c r="E197" s="110" t="s">
        <v>208</v>
      </c>
      <c r="F197" s="107">
        <v>3.22</v>
      </c>
      <c r="G197" s="108">
        <v>13.19</v>
      </c>
      <c r="H197" s="64"/>
      <c r="I197" s="64" t="s">
        <v>207</v>
      </c>
      <c r="J197" s="531" t="s">
        <v>207</v>
      </c>
    </row>
    <row r="198" spans="1:10" x14ac:dyDescent="0.25">
      <c r="A198" s="7"/>
      <c r="B198" s="29"/>
      <c r="C198" s="64"/>
      <c r="D198" s="2">
        <f>+D197+1</f>
        <v>2</v>
      </c>
      <c r="E198" s="110" t="s">
        <v>209</v>
      </c>
      <c r="F198" s="107">
        <f>+G197</f>
        <v>13.19</v>
      </c>
      <c r="G198" s="108">
        <v>30.39</v>
      </c>
      <c r="H198" s="64"/>
      <c r="I198" s="64"/>
      <c r="J198" s="530"/>
    </row>
    <row r="199" spans="1:10" x14ac:dyDescent="0.25">
      <c r="A199" s="20"/>
      <c r="B199" s="327"/>
      <c r="C199" s="328"/>
      <c r="D199" s="306">
        <f>+D198+1</f>
        <v>3</v>
      </c>
      <c r="E199" s="332" t="s">
        <v>210</v>
      </c>
      <c r="F199" s="330">
        <f>+G198</f>
        <v>30.39</v>
      </c>
      <c r="G199" s="331">
        <v>43.54</v>
      </c>
      <c r="H199" s="333" t="s">
        <v>213</v>
      </c>
      <c r="I199" s="328"/>
      <c r="J199" s="530"/>
    </row>
    <row r="200" spans="1:10" x14ac:dyDescent="0.25">
      <c r="A200" s="6"/>
      <c r="B200" s="334"/>
      <c r="C200" s="335"/>
      <c r="D200" s="302"/>
      <c r="E200" s="336"/>
      <c r="F200" s="337"/>
      <c r="G200" s="338"/>
      <c r="H200" s="335"/>
      <c r="I200" s="335"/>
      <c r="J200" s="530"/>
    </row>
    <row r="201" spans="1:10" x14ac:dyDescent="0.25">
      <c r="A201" s="7">
        <v>25</v>
      </c>
      <c r="B201" s="29">
        <v>44047</v>
      </c>
      <c r="C201" s="65" t="s">
        <v>211</v>
      </c>
      <c r="D201" s="2">
        <v>1</v>
      </c>
      <c r="E201" s="111" t="s">
        <v>214</v>
      </c>
      <c r="F201" s="107">
        <v>1.45</v>
      </c>
      <c r="G201" s="108">
        <v>12.42</v>
      </c>
      <c r="H201" s="64"/>
      <c r="I201" s="64" t="s">
        <v>212</v>
      </c>
      <c r="J201" s="531" t="s">
        <v>212</v>
      </c>
    </row>
    <row r="202" spans="1:10" x14ac:dyDescent="0.25">
      <c r="A202" s="7"/>
      <c r="B202" s="29"/>
      <c r="C202" s="64"/>
      <c r="D202" s="2">
        <f>+D201+1</f>
        <v>2</v>
      </c>
      <c r="E202" s="111" t="s">
        <v>215</v>
      </c>
      <c r="F202" s="107">
        <f>+G201</f>
        <v>12.42</v>
      </c>
      <c r="G202" s="108">
        <v>28.52</v>
      </c>
      <c r="H202" s="64"/>
      <c r="I202" s="64"/>
      <c r="J202" s="530"/>
    </row>
    <row r="203" spans="1:10" x14ac:dyDescent="0.25">
      <c r="A203" s="7"/>
      <c r="B203" s="29"/>
      <c r="C203" s="64"/>
      <c r="D203" s="2">
        <f>+D202+1</f>
        <v>3</v>
      </c>
      <c r="E203" s="111" t="s">
        <v>216</v>
      </c>
      <c r="F203" s="107">
        <f>+G202</f>
        <v>28.52</v>
      </c>
      <c r="G203" s="108">
        <v>40.450000000000003</v>
      </c>
      <c r="H203" s="64"/>
      <c r="I203" s="64"/>
      <c r="J203" s="530"/>
    </row>
    <row r="204" spans="1:10" x14ac:dyDescent="0.25">
      <c r="A204" s="7"/>
      <c r="B204" s="29"/>
      <c r="C204" s="64"/>
      <c r="D204" s="2">
        <f>+D203+1</f>
        <v>4</v>
      </c>
      <c r="E204" s="111" t="s">
        <v>217</v>
      </c>
      <c r="F204" s="107">
        <f>+G203</f>
        <v>40.450000000000003</v>
      </c>
      <c r="G204" s="108">
        <v>50.25</v>
      </c>
      <c r="H204" s="64"/>
      <c r="I204" s="64"/>
      <c r="J204" s="530"/>
    </row>
    <row r="205" spans="1:10" x14ac:dyDescent="0.25">
      <c r="A205" s="20"/>
      <c r="B205" s="327"/>
      <c r="C205" s="328"/>
      <c r="D205" s="306">
        <f>+D204+1</f>
        <v>5</v>
      </c>
      <c r="E205" s="339" t="s">
        <v>218</v>
      </c>
      <c r="F205" s="330">
        <f>+G204</f>
        <v>50.25</v>
      </c>
      <c r="G205" s="340" t="s">
        <v>219</v>
      </c>
      <c r="H205" s="333" t="s">
        <v>220</v>
      </c>
      <c r="I205" s="333" t="s">
        <v>221</v>
      </c>
      <c r="J205" s="530" t="s">
        <v>221</v>
      </c>
    </row>
    <row r="206" spans="1:10" x14ac:dyDescent="0.25">
      <c r="A206" s="7"/>
      <c r="B206" s="29"/>
      <c r="C206" s="64"/>
      <c r="D206" s="2"/>
      <c r="E206" s="106"/>
      <c r="F206" s="107"/>
      <c r="G206" s="108"/>
      <c r="H206" s="64"/>
      <c r="I206" s="64"/>
      <c r="J206" s="530"/>
    </row>
    <row r="207" spans="1:10" x14ac:dyDescent="0.25">
      <c r="A207" s="7">
        <v>26</v>
      </c>
      <c r="B207" s="29">
        <v>44048</v>
      </c>
      <c r="C207" s="64">
        <v>50.27</v>
      </c>
      <c r="D207" s="2">
        <v>1</v>
      </c>
      <c r="E207" s="112" t="s">
        <v>220</v>
      </c>
      <c r="F207" s="107">
        <v>2.04</v>
      </c>
      <c r="G207" s="108">
        <v>10.19</v>
      </c>
      <c r="H207" s="254" t="s">
        <v>137</v>
      </c>
      <c r="I207" s="64" t="s">
        <v>222</v>
      </c>
      <c r="J207" s="531" t="s">
        <v>222</v>
      </c>
    </row>
    <row r="208" spans="1:10" x14ac:dyDescent="0.25">
      <c r="A208" s="7"/>
      <c r="B208" s="29"/>
      <c r="C208" s="64"/>
      <c r="D208" s="2">
        <f>+D207+1</f>
        <v>2</v>
      </c>
      <c r="E208" s="112" t="s">
        <v>223</v>
      </c>
      <c r="F208" s="107">
        <v>15.48</v>
      </c>
      <c r="G208" s="108">
        <v>33.479999999999997</v>
      </c>
      <c r="H208" s="64"/>
      <c r="I208" s="64"/>
      <c r="J208" s="530"/>
    </row>
    <row r="209" spans="1:10" x14ac:dyDescent="0.25">
      <c r="A209" s="7"/>
      <c r="B209" s="29"/>
      <c r="C209" s="64"/>
      <c r="D209" s="2">
        <f>+D208+1</f>
        <v>3</v>
      </c>
      <c r="E209" s="112" t="s">
        <v>224</v>
      </c>
      <c r="F209" s="107">
        <f>+G208</f>
        <v>33.479999999999997</v>
      </c>
      <c r="G209" s="108">
        <v>49.18</v>
      </c>
      <c r="H209" s="254" t="s">
        <v>225</v>
      </c>
      <c r="I209" s="64"/>
      <c r="J209" s="530"/>
    </row>
    <row r="210" spans="1:10" x14ac:dyDescent="0.25">
      <c r="A210" s="341"/>
      <c r="B210" s="342"/>
      <c r="C210" s="343"/>
      <c r="D210" s="329"/>
      <c r="E210" s="329"/>
      <c r="F210" s="344"/>
      <c r="G210" s="331"/>
      <c r="H210" s="343"/>
      <c r="I210" s="343"/>
      <c r="J210" s="530"/>
    </row>
    <row r="211" spans="1:10" x14ac:dyDescent="0.25">
      <c r="A211" s="8">
        <v>27</v>
      </c>
      <c r="B211" s="31">
        <v>44049</v>
      </c>
      <c r="C211" s="66">
        <v>57.35</v>
      </c>
      <c r="D211" s="2">
        <v>1</v>
      </c>
      <c r="E211" s="114" t="s">
        <v>227</v>
      </c>
      <c r="F211" s="113">
        <v>2.0699999999999998</v>
      </c>
      <c r="G211" s="108">
        <v>6.08</v>
      </c>
      <c r="H211" s="66"/>
      <c r="I211" s="66" t="s">
        <v>226</v>
      </c>
      <c r="J211" s="531" t="s">
        <v>226</v>
      </c>
    </row>
    <row r="212" spans="1:10" x14ac:dyDescent="0.25">
      <c r="A212" s="8"/>
      <c r="B212" s="30"/>
      <c r="C212" s="66"/>
      <c r="D212" s="2">
        <f>+D211+1</f>
        <v>2</v>
      </c>
      <c r="E212" s="114" t="s">
        <v>228</v>
      </c>
      <c r="F212" s="113">
        <f>+G211</f>
        <v>6.08</v>
      </c>
      <c r="G212" s="108">
        <v>19.2</v>
      </c>
      <c r="H212" s="66"/>
      <c r="I212" s="66"/>
      <c r="J212" s="530"/>
    </row>
    <row r="213" spans="1:10" x14ac:dyDescent="0.25">
      <c r="A213" s="8"/>
      <c r="B213" s="30"/>
      <c r="C213" s="66"/>
      <c r="D213" s="2">
        <f>+D212+1</f>
        <v>3</v>
      </c>
      <c r="E213" s="114" t="s">
        <v>229</v>
      </c>
      <c r="F213" s="113">
        <f>+G212</f>
        <v>19.2</v>
      </c>
      <c r="G213" s="108">
        <v>47.36</v>
      </c>
      <c r="H213" s="255" t="s">
        <v>137</v>
      </c>
      <c r="I213" s="66"/>
      <c r="J213" s="530"/>
    </row>
    <row r="214" spans="1:10" x14ac:dyDescent="0.25">
      <c r="A214" s="8"/>
      <c r="B214" s="30"/>
      <c r="C214" s="66"/>
      <c r="D214" s="2">
        <f>+D213+1</f>
        <v>4</v>
      </c>
      <c r="E214" s="114" t="s">
        <v>230</v>
      </c>
      <c r="F214" s="113">
        <v>52.45</v>
      </c>
      <c r="G214" s="108">
        <v>56.36</v>
      </c>
      <c r="H214" s="256" t="s">
        <v>230</v>
      </c>
      <c r="I214" s="66"/>
      <c r="J214" s="530"/>
    </row>
    <row r="215" spans="1:10" x14ac:dyDescent="0.25">
      <c r="A215" s="341"/>
      <c r="B215" s="342"/>
      <c r="C215" s="343"/>
      <c r="D215" s="329"/>
      <c r="E215" s="329"/>
      <c r="F215" s="344"/>
      <c r="G215" s="331"/>
      <c r="H215" s="343"/>
      <c r="I215" s="343"/>
      <c r="J215" s="530"/>
    </row>
    <row r="216" spans="1:10" x14ac:dyDescent="0.25">
      <c r="A216" s="8">
        <v>28</v>
      </c>
      <c r="B216" s="31">
        <v>44050</v>
      </c>
      <c r="C216" s="66">
        <v>57.27</v>
      </c>
      <c r="D216" s="2">
        <v>1</v>
      </c>
      <c r="E216" s="115" t="s">
        <v>232</v>
      </c>
      <c r="F216" s="113">
        <v>2.41</v>
      </c>
      <c r="G216" s="108">
        <v>26.29</v>
      </c>
      <c r="H216" s="256" t="s">
        <v>137</v>
      </c>
      <c r="I216" s="66" t="s">
        <v>231</v>
      </c>
      <c r="J216" s="531" t="s">
        <v>231</v>
      </c>
    </row>
    <row r="217" spans="1:10" x14ac:dyDescent="0.25">
      <c r="A217" s="8"/>
      <c r="B217" s="30"/>
      <c r="C217" s="66"/>
      <c r="D217" s="2">
        <f>+D216+1</f>
        <v>2</v>
      </c>
      <c r="E217" s="115" t="s">
        <v>233</v>
      </c>
      <c r="F217" s="113">
        <v>30.36</v>
      </c>
      <c r="G217" s="108">
        <v>49.1</v>
      </c>
      <c r="H217" s="66"/>
      <c r="I217" s="66"/>
      <c r="J217" s="530"/>
    </row>
    <row r="218" spans="1:10" x14ac:dyDescent="0.25">
      <c r="A218" s="8"/>
      <c r="B218" s="30"/>
      <c r="C218" s="66"/>
      <c r="D218" s="2">
        <f>+D217+1</f>
        <v>3</v>
      </c>
      <c r="E218" s="115" t="s">
        <v>234</v>
      </c>
      <c r="F218" s="113">
        <f>+G217</f>
        <v>49.1</v>
      </c>
      <c r="G218" s="108">
        <v>56.31</v>
      </c>
      <c r="H218" s="256" t="s">
        <v>235</v>
      </c>
      <c r="I218" s="66"/>
      <c r="J218" s="530"/>
    </row>
    <row r="219" spans="1:10" x14ac:dyDescent="0.25">
      <c r="A219" s="341"/>
      <c r="B219" s="342"/>
      <c r="C219" s="343"/>
      <c r="D219" s="306"/>
      <c r="E219" s="329"/>
      <c r="F219" s="344"/>
      <c r="G219" s="331"/>
      <c r="H219" s="343"/>
      <c r="I219" s="343"/>
      <c r="J219" s="530"/>
    </row>
    <row r="220" spans="1:10" x14ac:dyDescent="0.25">
      <c r="A220" s="8"/>
      <c r="B220" s="30"/>
      <c r="C220" s="66"/>
      <c r="D220" s="106"/>
      <c r="E220" s="106"/>
      <c r="F220" s="113"/>
      <c r="G220" s="108"/>
      <c r="H220" s="66"/>
      <c r="I220" s="66"/>
      <c r="J220" s="530"/>
    </row>
    <row r="221" spans="1:10" x14ac:dyDescent="0.25">
      <c r="A221" s="8">
        <v>29</v>
      </c>
      <c r="B221" s="31">
        <v>44051</v>
      </c>
      <c r="C221" s="66">
        <v>59.01</v>
      </c>
      <c r="D221" s="2">
        <v>1</v>
      </c>
      <c r="E221" s="116" t="s">
        <v>237</v>
      </c>
      <c r="F221" s="113">
        <v>4.07</v>
      </c>
      <c r="G221" s="108">
        <v>15.48</v>
      </c>
      <c r="H221" s="66"/>
      <c r="I221" s="66" t="s">
        <v>236</v>
      </c>
      <c r="J221" s="531" t="s">
        <v>236</v>
      </c>
    </row>
    <row r="222" spans="1:10" x14ac:dyDescent="0.25">
      <c r="A222" s="8"/>
      <c r="B222" s="30"/>
      <c r="C222" s="66"/>
      <c r="D222" s="2">
        <f>+D221+1</f>
        <v>2</v>
      </c>
      <c r="E222" s="116" t="s">
        <v>238</v>
      </c>
      <c r="F222" s="113">
        <f>+G221</f>
        <v>15.48</v>
      </c>
      <c r="G222" s="108">
        <v>38.090000000000003</v>
      </c>
      <c r="H222" s="66"/>
      <c r="I222" s="66"/>
      <c r="J222" s="530"/>
    </row>
    <row r="223" spans="1:10" x14ac:dyDescent="0.25">
      <c r="A223" s="8"/>
      <c r="B223" s="30"/>
      <c r="C223" s="66"/>
      <c r="D223" s="2">
        <f>+D222+1</f>
        <v>3</v>
      </c>
      <c r="E223" s="116" t="s">
        <v>239</v>
      </c>
      <c r="F223" s="113">
        <f>+G222</f>
        <v>38.090000000000003</v>
      </c>
      <c r="G223" s="108">
        <v>55.36</v>
      </c>
      <c r="H223" s="257" t="s">
        <v>241</v>
      </c>
      <c r="I223" s="66"/>
      <c r="J223" s="530"/>
    </row>
    <row r="224" spans="1:10" x14ac:dyDescent="0.25">
      <c r="A224" s="341"/>
      <c r="B224" s="345"/>
      <c r="C224" s="343"/>
      <c r="D224" s="306"/>
      <c r="E224" s="346"/>
      <c r="F224" s="344"/>
      <c r="G224" s="331"/>
      <c r="H224" s="343"/>
      <c r="I224" s="343"/>
      <c r="J224" s="530"/>
    </row>
    <row r="225" spans="1:10" x14ac:dyDescent="0.25">
      <c r="A225" s="8">
        <v>30</v>
      </c>
      <c r="B225" s="31">
        <v>44052</v>
      </c>
      <c r="C225" s="66">
        <v>44.18</v>
      </c>
      <c r="D225" s="2">
        <v>1</v>
      </c>
      <c r="E225" s="117" t="s">
        <v>240</v>
      </c>
      <c r="F225" s="113">
        <v>3.51</v>
      </c>
      <c r="G225" s="108">
        <v>10.54</v>
      </c>
      <c r="H225" s="66"/>
      <c r="I225" s="66" t="s">
        <v>245</v>
      </c>
      <c r="J225" s="531" t="s">
        <v>245</v>
      </c>
    </row>
    <row r="226" spans="1:10" x14ac:dyDescent="0.25">
      <c r="A226" s="8"/>
      <c r="B226" s="30"/>
      <c r="C226" s="66"/>
      <c r="D226" s="2">
        <f>+D225+1</f>
        <v>2</v>
      </c>
      <c r="E226" s="117" t="s">
        <v>242</v>
      </c>
      <c r="F226" s="113">
        <f>+G225</f>
        <v>10.54</v>
      </c>
      <c r="G226" s="108">
        <v>27.1</v>
      </c>
      <c r="H226" s="66"/>
      <c r="I226" s="66"/>
      <c r="J226" s="530"/>
    </row>
    <row r="227" spans="1:10" x14ac:dyDescent="0.25">
      <c r="A227" s="341"/>
      <c r="B227" s="345"/>
      <c r="C227" s="343"/>
      <c r="D227" s="306">
        <f>+D226+1</f>
        <v>3</v>
      </c>
      <c r="E227" s="347" t="s">
        <v>243</v>
      </c>
      <c r="F227" s="344">
        <f>+G226</f>
        <v>27.1</v>
      </c>
      <c r="G227" s="331">
        <v>43.36</v>
      </c>
      <c r="H227" s="348" t="s">
        <v>244</v>
      </c>
      <c r="I227" s="343"/>
      <c r="J227" s="530"/>
    </row>
    <row r="228" spans="1:10" x14ac:dyDescent="0.25">
      <c r="A228" s="8"/>
      <c r="B228" s="30"/>
      <c r="C228" s="66"/>
      <c r="D228" s="2"/>
      <c r="E228" s="116"/>
      <c r="F228" s="113"/>
      <c r="G228" s="108"/>
      <c r="H228" s="66"/>
      <c r="I228" s="66"/>
      <c r="J228" s="530"/>
    </row>
    <row r="229" spans="1:10" x14ac:dyDescent="0.25">
      <c r="A229" s="8">
        <v>31</v>
      </c>
      <c r="B229" s="31">
        <v>44053</v>
      </c>
      <c r="C229" s="66">
        <v>59.37</v>
      </c>
      <c r="D229" s="2">
        <v>1</v>
      </c>
      <c r="E229" s="118" t="s">
        <v>246</v>
      </c>
      <c r="F229" s="113">
        <v>4</v>
      </c>
      <c r="G229" s="108">
        <v>9.07</v>
      </c>
      <c r="H229" s="66"/>
      <c r="I229" s="66" t="s">
        <v>250</v>
      </c>
      <c r="J229" s="531" t="s">
        <v>250</v>
      </c>
    </row>
    <row r="230" spans="1:10" x14ac:dyDescent="0.25">
      <c r="A230" s="8"/>
      <c r="B230" s="31"/>
      <c r="C230" s="66"/>
      <c r="D230" s="2">
        <f>+D229+1</f>
        <v>2</v>
      </c>
      <c r="E230" s="118" t="s">
        <v>247</v>
      </c>
      <c r="F230" s="113">
        <f>+G229</f>
        <v>9.07</v>
      </c>
      <c r="G230" s="108">
        <v>31.21</v>
      </c>
      <c r="H230" s="258" t="s">
        <v>137</v>
      </c>
      <c r="I230" s="66"/>
      <c r="J230" s="530"/>
    </row>
    <row r="231" spans="1:10" x14ac:dyDescent="0.25">
      <c r="A231" s="8"/>
      <c r="B231" s="30"/>
      <c r="C231" s="66"/>
      <c r="D231" s="2">
        <f>+D230+1</f>
        <v>3</v>
      </c>
      <c r="E231" s="118" t="s">
        <v>248</v>
      </c>
      <c r="F231" s="113">
        <v>37.200000000000003</v>
      </c>
      <c r="G231" s="108">
        <v>52.29</v>
      </c>
      <c r="H231" s="66"/>
      <c r="I231" s="66"/>
      <c r="J231" s="530"/>
    </row>
    <row r="232" spans="1:10" x14ac:dyDescent="0.25">
      <c r="A232" s="8"/>
      <c r="B232" s="30"/>
      <c r="C232" s="66"/>
      <c r="D232" s="2">
        <f>+D231+1</f>
        <v>4</v>
      </c>
      <c r="E232" s="118" t="s">
        <v>249</v>
      </c>
      <c r="F232" s="113">
        <f>+G231</f>
        <v>52.29</v>
      </c>
      <c r="G232" s="108">
        <v>58.32</v>
      </c>
      <c r="H232" s="259" t="s">
        <v>253</v>
      </c>
      <c r="I232" s="66"/>
      <c r="J232" s="530"/>
    </row>
    <row r="233" spans="1:10" x14ac:dyDescent="0.25">
      <c r="A233" s="341"/>
      <c r="B233" s="345"/>
      <c r="C233" s="343"/>
      <c r="D233" s="306"/>
      <c r="E233" s="346"/>
      <c r="F233" s="344"/>
      <c r="G233" s="331"/>
      <c r="H233" s="343"/>
      <c r="I233" s="343"/>
      <c r="J233" s="530"/>
    </row>
    <row r="234" spans="1:10" x14ac:dyDescent="0.25">
      <c r="A234" s="8">
        <v>32</v>
      </c>
      <c r="B234" s="31">
        <v>44054</v>
      </c>
      <c r="C234" s="66">
        <v>57.57</v>
      </c>
      <c r="D234" s="2">
        <v>1</v>
      </c>
      <c r="E234" s="119" t="s">
        <v>252</v>
      </c>
      <c r="F234" s="113">
        <v>3.12</v>
      </c>
      <c r="G234" s="108">
        <v>23.44</v>
      </c>
      <c r="H234" s="66"/>
      <c r="I234" s="66" t="s">
        <v>251</v>
      </c>
      <c r="J234" s="531" t="s">
        <v>251</v>
      </c>
    </row>
    <row r="235" spans="1:10" x14ac:dyDescent="0.25">
      <c r="A235" s="8"/>
      <c r="B235" s="30"/>
      <c r="C235" s="66"/>
      <c r="D235" s="2">
        <f>+D234+1</f>
        <v>2</v>
      </c>
      <c r="E235" s="119" t="s">
        <v>255</v>
      </c>
      <c r="F235" s="113">
        <f>+G234</f>
        <v>23.44</v>
      </c>
      <c r="G235" s="108">
        <v>39.19</v>
      </c>
      <c r="H235" s="66"/>
      <c r="I235" s="66"/>
      <c r="J235" s="530"/>
    </row>
    <row r="236" spans="1:10" x14ac:dyDescent="0.25">
      <c r="A236" s="8"/>
      <c r="B236" s="31"/>
      <c r="C236" s="66"/>
      <c r="D236" s="2">
        <f>+D235+1</f>
        <v>3</v>
      </c>
      <c r="E236" s="119" t="s">
        <v>254</v>
      </c>
      <c r="F236" s="113">
        <f>+G235</f>
        <v>39.19</v>
      </c>
      <c r="G236" s="108">
        <v>51.29</v>
      </c>
      <c r="H236" s="66"/>
      <c r="I236" s="66"/>
      <c r="J236" s="530"/>
    </row>
    <row r="237" spans="1:10" x14ac:dyDescent="0.25">
      <c r="A237" s="341"/>
      <c r="B237" s="342"/>
      <c r="C237" s="343"/>
      <c r="D237" s="306">
        <f>+D236+1</f>
        <v>4</v>
      </c>
      <c r="E237" s="349" t="s">
        <v>256</v>
      </c>
      <c r="F237" s="344">
        <f>+G236</f>
        <v>51.29</v>
      </c>
      <c r="G237" s="331">
        <v>56.53</v>
      </c>
      <c r="H237" s="350" t="s">
        <v>257</v>
      </c>
      <c r="I237" s="343"/>
      <c r="J237" s="530"/>
    </row>
    <row r="238" spans="1:10" x14ac:dyDescent="0.25">
      <c r="A238" s="8"/>
      <c r="B238" s="30"/>
      <c r="C238" s="66"/>
      <c r="D238" s="2"/>
      <c r="E238" s="116"/>
      <c r="F238" s="113"/>
      <c r="G238" s="108"/>
      <c r="H238" s="66"/>
      <c r="I238" s="66"/>
      <c r="J238" s="530"/>
    </row>
    <row r="239" spans="1:10" x14ac:dyDescent="0.25">
      <c r="A239" s="8">
        <v>33</v>
      </c>
      <c r="B239" s="32" t="s">
        <v>258</v>
      </c>
      <c r="C239" s="66">
        <v>54.34</v>
      </c>
      <c r="D239" s="2">
        <v>1</v>
      </c>
      <c r="E239" s="119" t="s">
        <v>259</v>
      </c>
      <c r="F239" s="113">
        <v>5.37</v>
      </c>
      <c r="G239" s="108">
        <v>9.48</v>
      </c>
      <c r="H239" s="66"/>
      <c r="I239" s="66" t="s">
        <v>265</v>
      </c>
      <c r="J239" s="531" t="s">
        <v>265</v>
      </c>
    </row>
    <row r="240" spans="1:10" x14ac:dyDescent="0.25">
      <c r="A240" s="8"/>
      <c r="B240" s="30"/>
      <c r="C240" s="66"/>
      <c r="D240" s="2">
        <f>+D239+1</f>
        <v>2</v>
      </c>
      <c r="E240" s="119" t="s">
        <v>260</v>
      </c>
      <c r="F240" s="113">
        <f>+G239</f>
        <v>9.48</v>
      </c>
      <c r="G240" s="108">
        <v>18.27</v>
      </c>
      <c r="H240" s="66"/>
      <c r="I240" s="66"/>
      <c r="J240" s="530"/>
    </row>
    <row r="241" spans="1:10" x14ac:dyDescent="0.25">
      <c r="A241" s="8"/>
      <c r="B241" s="30"/>
      <c r="C241" s="66"/>
      <c r="D241" s="2">
        <f>+D240+1</f>
        <v>3</v>
      </c>
      <c r="E241" s="119" t="s">
        <v>261</v>
      </c>
      <c r="F241" s="113">
        <f>+G240</f>
        <v>18.27</v>
      </c>
      <c r="G241" s="108">
        <v>29.45</v>
      </c>
      <c r="H241" s="66"/>
      <c r="I241" s="66"/>
      <c r="J241" s="530"/>
    </row>
    <row r="242" spans="1:10" x14ac:dyDescent="0.25">
      <c r="A242" s="8"/>
      <c r="B242" s="31"/>
      <c r="C242" s="66"/>
      <c r="D242" s="2">
        <f>+D241+1</f>
        <v>4</v>
      </c>
      <c r="E242" s="119" t="s">
        <v>262</v>
      </c>
      <c r="F242" s="113">
        <f>+G241</f>
        <v>29.45</v>
      </c>
      <c r="G242" s="108">
        <v>37.47</v>
      </c>
      <c r="H242" s="66"/>
      <c r="I242" s="66"/>
      <c r="J242" s="530"/>
    </row>
    <row r="243" spans="1:10" x14ac:dyDescent="0.25">
      <c r="A243" s="8"/>
      <c r="B243" s="30"/>
      <c r="C243" s="66"/>
      <c r="D243" s="2">
        <f>+D242+1</f>
        <v>5</v>
      </c>
      <c r="E243" s="119" t="s">
        <v>263</v>
      </c>
      <c r="F243" s="113">
        <f>+G242</f>
        <v>37.47</v>
      </c>
      <c r="G243" s="108">
        <v>47.54</v>
      </c>
      <c r="H243" s="66"/>
      <c r="I243" s="66"/>
      <c r="J243" s="530"/>
    </row>
    <row r="244" spans="1:10" x14ac:dyDescent="0.25">
      <c r="A244" s="341"/>
      <c r="B244" s="342"/>
      <c r="C244" s="343"/>
      <c r="D244" s="306">
        <f>+D243+1</f>
        <v>6</v>
      </c>
      <c r="E244" s="349" t="s">
        <v>264</v>
      </c>
      <c r="F244" s="344">
        <f>+G243</f>
        <v>47.54</v>
      </c>
      <c r="G244" s="331">
        <v>53.35</v>
      </c>
      <c r="H244" s="351" t="s">
        <v>267</v>
      </c>
      <c r="I244" s="343"/>
      <c r="J244" s="530"/>
    </row>
    <row r="245" spans="1:10" x14ac:dyDescent="0.25">
      <c r="A245" s="8"/>
      <c r="B245" s="31"/>
      <c r="C245" s="66"/>
      <c r="D245" s="2"/>
      <c r="E245" s="116"/>
      <c r="F245" s="113"/>
      <c r="G245" s="108"/>
      <c r="H245" s="66"/>
      <c r="I245" s="66"/>
      <c r="J245" s="530"/>
    </row>
    <row r="246" spans="1:10" x14ac:dyDescent="0.25">
      <c r="A246" s="8"/>
      <c r="B246" s="30"/>
      <c r="C246" s="66"/>
      <c r="D246" s="2"/>
      <c r="E246" s="116"/>
      <c r="F246" s="113"/>
      <c r="G246" s="108"/>
      <c r="H246" s="66"/>
      <c r="I246" s="66"/>
      <c r="J246" s="530"/>
    </row>
    <row r="247" spans="1:10" x14ac:dyDescent="0.25">
      <c r="A247" s="8">
        <v>34</v>
      </c>
      <c r="B247" s="31">
        <v>44056</v>
      </c>
      <c r="C247" s="67" t="s">
        <v>266</v>
      </c>
      <c r="D247" s="2">
        <v>1</v>
      </c>
      <c r="E247" s="120" t="s">
        <v>268</v>
      </c>
      <c r="F247" s="121">
        <v>2.21</v>
      </c>
      <c r="G247" s="108">
        <v>7.19</v>
      </c>
      <c r="H247" s="66"/>
      <c r="I247" s="66" t="s">
        <v>269</v>
      </c>
      <c r="J247" s="531" t="s">
        <v>269</v>
      </c>
    </row>
    <row r="248" spans="1:10" x14ac:dyDescent="0.25">
      <c r="A248" s="8"/>
      <c r="B248" s="31"/>
      <c r="C248" s="66"/>
      <c r="D248" s="2">
        <f>+D247+1</f>
        <v>2</v>
      </c>
      <c r="E248" s="120" t="s">
        <v>270</v>
      </c>
      <c r="F248" s="113">
        <f>+G247</f>
        <v>7.19</v>
      </c>
      <c r="G248" s="108">
        <v>24.12</v>
      </c>
      <c r="H248" s="66"/>
      <c r="I248" s="66"/>
      <c r="J248" s="530"/>
    </row>
    <row r="249" spans="1:10" x14ac:dyDescent="0.25">
      <c r="A249" s="8"/>
      <c r="B249" s="30"/>
      <c r="C249" s="66"/>
      <c r="D249" s="2">
        <f>+D248+1</f>
        <v>3</v>
      </c>
      <c r="E249" s="120" t="s">
        <v>271</v>
      </c>
      <c r="F249" s="113">
        <f>+G248</f>
        <v>24.12</v>
      </c>
      <c r="G249" s="108">
        <v>31.36</v>
      </c>
      <c r="H249" s="67" t="s">
        <v>137</v>
      </c>
      <c r="I249" s="66"/>
      <c r="J249" s="530"/>
    </row>
    <row r="250" spans="1:10" x14ac:dyDescent="0.25">
      <c r="A250" s="8"/>
      <c r="B250" s="30"/>
      <c r="C250" s="66"/>
      <c r="D250" s="2">
        <f>+D249+1</f>
        <v>4</v>
      </c>
      <c r="E250" s="120" t="s">
        <v>272</v>
      </c>
      <c r="F250" s="113">
        <v>36.520000000000003</v>
      </c>
      <c r="G250" s="108">
        <v>47.54</v>
      </c>
      <c r="H250" s="66"/>
      <c r="I250" s="66"/>
      <c r="J250" s="530"/>
    </row>
    <row r="251" spans="1:10" x14ac:dyDescent="0.25">
      <c r="A251" s="8"/>
      <c r="B251" s="31"/>
      <c r="C251" s="66"/>
      <c r="D251" s="2">
        <f>+D250+1</f>
        <v>5</v>
      </c>
      <c r="E251" s="120" t="s">
        <v>273</v>
      </c>
      <c r="F251" s="113">
        <f>+G250</f>
        <v>47.54</v>
      </c>
      <c r="G251" s="108">
        <v>59.36</v>
      </c>
      <c r="H251" s="67" t="s">
        <v>274</v>
      </c>
      <c r="I251" s="66"/>
      <c r="J251" s="530"/>
    </row>
    <row r="252" spans="1:10" x14ac:dyDescent="0.25">
      <c r="A252" s="341"/>
      <c r="B252" s="342"/>
      <c r="C252" s="343"/>
      <c r="D252" s="306"/>
      <c r="E252" s="346"/>
      <c r="F252" s="344"/>
      <c r="G252" s="331"/>
      <c r="H252" s="343"/>
      <c r="I252" s="343"/>
      <c r="J252" s="530"/>
    </row>
    <row r="253" spans="1:10" x14ac:dyDescent="0.25">
      <c r="A253" s="8">
        <v>35</v>
      </c>
      <c r="B253" s="31">
        <v>44057</v>
      </c>
      <c r="C253" s="66">
        <v>48.11</v>
      </c>
      <c r="D253" s="2">
        <v>1</v>
      </c>
      <c r="E253" s="122" t="s">
        <v>276</v>
      </c>
      <c r="F253" s="113">
        <v>2.2200000000000002</v>
      </c>
      <c r="G253" s="108">
        <v>8.5399999999999991</v>
      </c>
      <c r="H253" s="260" t="s">
        <v>137</v>
      </c>
      <c r="I253" s="66" t="s">
        <v>275</v>
      </c>
      <c r="J253" s="531" t="s">
        <v>275</v>
      </c>
    </row>
    <row r="254" spans="1:10" x14ac:dyDescent="0.25">
      <c r="A254" s="8"/>
      <c r="B254" s="31"/>
      <c r="C254" s="66"/>
      <c r="D254" s="2">
        <f>+D253+1</f>
        <v>2</v>
      </c>
      <c r="E254" s="122" t="s">
        <v>277</v>
      </c>
      <c r="F254" s="113">
        <v>13.28</v>
      </c>
      <c r="G254" s="108">
        <v>25.03</v>
      </c>
      <c r="H254" s="66"/>
      <c r="I254" s="66"/>
      <c r="J254" s="530"/>
    </row>
    <row r="255" spans="1:10" x14ac:dyDescent="0.25">
      <c r="A255" s="8"/>
      <c r="B255" s="30"/>
      <c r="C255" s="66"/>
      <c r="D255" s="2">
        <f>+D254+1</f>
        <v>3</v>
      </c>
      <c r="E255" s="122" t="s">
        <v>278</v>
      </c>
      <c r="F255" s="113">
        <f>+G254</f>
        <v>25.03</v>
      </c>
      <c r="G255" s="108">
        <v>38.04</v>
      </c>
      <c r="H255" s="66"/>
      <c r="I255" s="66"/>
      <c r="J255" s="530"/>
    </row>
    <row r="256" spans="1:10" x14ac:dyDescent="0.25">
      <c r="A256" s="8"/>
      <c r="B256" s="30"/>
      <c r="C256" s="66"/>
      <c r="D256" s="2">
        <f>+D255+1</f>
        <v>4</v>
      </c>
      <c r="E256" s="122" t="s">
        <v>279</v>
      </c>
      <c r="F256" s="113">
        <f>+G255</f>
        <v>38.04</v>
      </c>
      <c r="G256" s="108">
        <v>47.04</v>
      </c>
      <c r="H256" s="66"/>
      <c r="I256" s="66"/>
      <c r="J256" s="530"/>
    </row>
    <row r="257" spans="1:10" x14ac:dyDescent="0.25">
      <c r="A257" s="341"/>
      <c r="B257" s="345"/>
      <c r="C257" s="343"/>
      <c r="D257" s="306"/>
      <c r="E257" s="346"/>
      <c r="F257" s="344"/>
      <c r="G257" s="331"/>
      <c r="H257" s="343"/>
      <c r="I257" s="343"/>
      <c r="J257" s="530"/>
    </row>
    <row r="258" spans="1:10" x14ac:dyDescent="0.25">
      <c r="A258" s="8">
        <v>36</v>
      </c>
      <c r="B258" s="31">
        <v>44058</v>
      </c>
      <c r="C258" s="66">
        <v>55.18</v>
      </c>
      <c r="D258" s="2">
        <v>1</v>
      </c>
      <c r="E258" s="123" t="s">
        <v>280</v>
      </c>
      <c r="F258" s="113">
        <v>3.15</v>
      </c>
      <c r="G258" s="108">
        <v>14.04</v>
      </c>
      <c r="H258" s="66"/>
      <c r="I258" s="66" t="s">
        <v>281</v>
      </c>
      <c r="J258" s="531" t="s">
        <v>281</v>
      </c>
    </row>
    <row r="259" spans="1:10" x14ac:dyDescent="0.25">
      <c r="A259" s="8"/>
      <c r="B259" s="30"/>
      <c r="C259" s="66"/>
      <c r="D259" s="2">
        <f>+D258+1</f>
        <v>2</v>
      </c>
      <c r="E259" s="123" t="s">
        <v>282</v>
      </c>
      <c r="F259" s="113">
        <f>+G258</f>
        <v>14.04</v>
      </c>
      <c r="G259" s="108">
        <v>19.149999999999999</v>
      </c>
      <c r="H259" s="66"/>
      <c r="I259" s="66"/>
      <c r="J259" s="530"/>
    </row>
    <row r="260" spans="1:10" x14ac:dyDescent="0.25">
      <c r="A260" s="8"/>
      <c r="B260" s="31"/>
      <c r="C260" s="66"/>
      <c r="D260" s="2">
        <f>+D259+1</f>
        <v>3</v>
      </c>
      <c r="E260" s="123" t="s">
        <v>283</v>
      </c>
      <c r="F260" s="113">
        <f>+G259</f>
        <v>19.149999999999999</v>
      </c>
      <c r="G260" s="108">
        <v>26.33</v>
      </c>
      <c r="H260" s="66"/>
      <c r="I260" s="66"/>
      <c r="J260" s="530"/>
    </row>
    <row r="261" spans="1:10" x14ac:dyDescent="0.25">
      <c r="A261" s="8"/>
      <c r="B261" s="30"/>
      <c r="C261" s="66"/>
      <c r="D261" s="2">
        <f>+D260+1</f>
        <v>4</v>
      </c>
      <c r="E261" s="123" t="s">
        <v>284</v>
      </c>
      <c r="F261" s="113">
        <f>+G260</f>
        <v>26.33</v>
      </c>
      <c r="G261" s="108">
        <v>33.119999999999997</v>
      </c>
      <c r="H261" s="66"/>
      <c r="I261" s="66"/>
      <c r="J261" s="530"/>
    </row>
    <row r="262" spans="1:10" x14ac:dyDescent="0.25">
      <c r="A262" s="8"/>
      <c r="B262" s="30"/>
      <c r="C262" s="66"/>
      <c r="D262" s="2">
        <f>+D261+1</f>
        <v>5</v>
      </c>
      <c r="E262" s="123" t="s">
        <v>285</v>
      </c>
      <c r="F262" s="113">
        <f>+G261</f>
        <v>33.119999999999997</v>
      </c>
      <c r="G262" s="108">
        <v>40.14</v>
      </c>
      <c r="H262" s="66"/>
      <c r="I262" s="66"/>
      <c r="J262" s="530"/>
    </row>
    <row r="263" spans="1:10" x14ac:dyDescent="0.25">
      <c r="A263" s="341"/>
      <c r="B263" s="345"/>
      <c r="C263" s="343"/>
      <c r="D263" s="306">
        <f>+D262+1</f>
        <v>6</v>
      </c>
      <c r="E263" s="352" t="s">
        <v>286</v>
      </c>
      <c r="F263" s="344">
        <f>+G262</f>
        <v>40.14</v>
      </c>
      <c r="G263" s="331">
        <v>51.43</v>
      </c>
      <c r="H263" s="343"/>
      <c r="I263" s="343"/>
      <c r="J263" s="530"/>
    </row>
    <row r="264" spans="1:10" x14ac:dyDescent="0.25">
      <c r="A264" s="8"/>
      <c r="B264" s="30"/>
      <c r="C264" s="66"/>
      <c r="D264" s="2"/>
      <c r="E264" s="116"/>
      <c r="F264" s="113"/>
      <c r="G264" s="108"/>
      <c r="H264" s="66"/>
      <c r="I264" s="66"/>
      <c r="J264" s="530"/>
    </row>
    <row r="265" spans="1:10" x14ac:dyDescent="0.25">
      <c r="A265" s="8">
        <v>37</v>
      </c>
      <c r="B265" s="31">
        <v>44059</v>
      </c>
      <c r="C265" s="66">
        <v>55.44</v>
      </c>
      <c r="D265" s="2">
        <v>1</v>
      </c>
      <c r="E265" s="124" t="s">
        <v>288</v>
      </c>
      <c r="F265" s="113">
        <v>2.33</v>
      </c>
      <c r="G265" s="108">
        <v>14.46</v>
      </c>
      <c r="H265" s="66"/>
      <c r="I265" s="66" t="s">
        <v>287</v>
      </c>
      <c r="J265" s="531" t="s">
        <v>287</v>
      </c>
    </row>
    <row r="266" spans="1:10" x14ac:dyDescent="0.25">
      <c r="A266" s="8"/>
      <c r="B266" s="31"/>
      <c r="C266" s="66"/>
      <c r="D266" s="2">
        <f>+D265+1</f>
        <v>2</v>
      </c>
      <c r="E266" s="124" t="s">
        <v>289</v>
      </c>
      <c r="F266" s="113">
        <f>+G265</f>
        <v>14.46</v>
      </c>
      <c r="G266" s="108">
        <v>33.590000000000003</v>
      </c>
      <c r="H266" s="261" t="s">
        <v>137</v>
      </c>
      <c r="I266" s="66"/>
      <c r="J266" s="530"/>
    </row>
    <row r="267" spans="1:10" x14ac:dyDescent="0.25">
      <c r="A267" s="8"/>
      <c r="B267" s="30"/>
      <c r="C267" s="66"/>
      <c r="D267" s="2">
        <f>+D266+1</f>
        <v>3</v>
      </c>
      <c r="E267" s="124" t="s">
        <v>290</v>
      </c>
      <c r="F267" s="113">
        <v>40.1</v>
      </c>
      <c r="G267" s="108">
        <v>54.37</v>
      </c>
      <c r="H267" s="68" t="s">
        <v>292</v>
      </c>
      <c r="I267" s="66"/>
      <c r="J267" s="530"/>
    </row>
    <row r="268" spans="1:10" x14ac:dyDescent="0.25">
      <c r="A268" s="9"/>
      <c r="B268" s="28"/>
      <c r="C268" s="63"/>
      <c r="D268" s="2"/>
      <c r="E268"/>
      <c r="F268" s="104"/>
      <c r="G268" s="105"/>
      <c r="H268" s="63"/>
      <c r="I268" s="63"/>
      <c r="J268"/>
    </row>
    <row r="269" spans="1:10" x14ac:dyDescent="0.25">
      <c r="A269" s="10">
        <v>38</v>
      </c>
      <c r="B269" s="33">
        <v>44060</v>
      </c>
      <c r="C269" s="68">
        <v>58.12</v>
      </c>
      <c r="D269" s="2">
        <v>1</v>
      </c>
      <c r="E269" s="125" t="s">
        <v>293</v>
      </c>
      <c r="F269" s="126">
        <v>3.28</v>
      </c>
      <c r="G269" s="127">
        <v>10.06</v>
      </c>
      <c r="H269" s="68"/>
      <c r="I269" s="68" t="s">
        <v>291</v>
      </c>
      <c r="J269" s="531" t="s">
        <v>291</v>
      </c>
    </row>
    <row r="270" spans="1:10" x14ac:dyDescent="0.25">
      <c r="A270" s="10"/>
      <c r="B270" s="34"/>
      <c r="C270" s="68"/>
      <c r="D270" s="2">
        <f>+D269+1</f>
        <v>2</v>
      </c>
      <c r="E270" s="125" t="s">
        <v>294</v>
      </c>
      <c r="F270" s="126">
        <f>+G269</f>
        <v>10.06</v>
      </c>
      <c r="G270" s="127">
        <v>14.4</v>
      </c>
      <c r="H270" s="68"/>
      <c r="I270" s="68"/>
      <c r="J270" s="530"/>
    </row>
    <row r="271" spans="1:10" x14ac:dyDescent="0.25">
      <c r="A271" s="10"/>
      <c r="B271" s="34"/>
      <c r="C271" s="68"/>
      <c r="D271" s="2">
        <f>+D270+1</f>
        <v>3</v>
      </c>
      <c r="E271" s="125" t="s">
        <v>295</v>
      </c>
      <c r="F271" s="126">
        <f>+G270</f>
        <v>14.4</v>
      </c>
      <c r="G271" s="127">
        <v>29.04</v>
      </c>
      <c r="H271" s="68"/>
      <c r="I271" s="68"/>
      <c r="J271" s="530"/>
    </row>
    <row r="272" spans="1:10" x14ac:dyDescent="0.25">
      <c r="A272" s="10"/>
      <c r="B272" s="34"/>
      <c r="C272" s="68"/>
      <c r="D272" s="2">
        <f>+D271+1</f>
        <v>4</v>
      </c>
      <c r="E272" s="125" t="s">
        <v>296</v>
      </c>
      <c r="F272" s="126">
        <v>38.369999999999997</v>
      </c>
      <c r="G272" s="127">
        <v>57.05</v>
      </c>
      <c r="H272" s="262" t="s">
        <v>298</v>
      </c>
      <c r="I272" s="68"/>
      <c r="J272" s="530"/>
    </row>
    <row r="273" spans="1:10" x14ac:dyDescent="0.25">
      <c r="A273" s="353"/>
      <c r="B273" s="354"/>
      <c r="C273" s="355"/>
      <c r="D273" s="356"/>
      <c r="E273" s="356"/>
      <c r="F273" s="357"/>
      <c r="G273" s="358"/>
      <c r="H273" s="355"/>
      <c r="I273" s="355"/>
      <c r="J273" s="530"/>
    </row>
    <row r="274" spans="1:10" x14ac:dyDescent="0.25">
      <c r="A274" s="10">
        <v>39</v>
      </c>
      <c r="B274" s="33">
        <v>44061</v>
      </c>
      <c r="C274" s="68">
        <v>52.48</v>
      </c>
      <c r="D274" s="2">
        <v>1</v>
      </c>
      <c r="E274" s="128" t="s">
        <v>299</v>
      </c>
      <c r="F274" s="126">
        <v>4.2699999999999996</v>
      </c>
      <c r="G274" s="127">
        <v>12.32</v>
      </c>
      <c r="H274" s="68"/>
      <c r="I274" s="68" t="s">
        <v>297</v>
      </c>
      <c r="J274" s="531" t="s">
        <v>297</v>
      </c>
    </row>
    <row r="275" spans="1:10" ht="36" x14ac:dyDescent="0.25">
      <c r="A275" s="10"/>
      <c r="B275" s="34"/>
      <c r="C275" s="68"/>
      <c r="D275" s="2">
        <f>+D274+1</f>
        <v>2</v>
      </c>
      <c r="E275" s="128" t="s">
        <v>300</v>
      </c>
      <c r="F275" s="126">
        <f>+G274</f>
        <v>12.32</v>
      </c>
      <c r="G275" s="127"/>
      <c r="H275" s="262" t="s">
        <v>301</v>
      </c>
      <c r="I275" s="262" t="s">
        <v>303</v>
      </c>
      <c r="J275" s="532" t="s">
        <v>303</v>
      </c>
    </row>
    <row r="276" spans="1:10" x14ac:dyDescent="0.25">
      <c r="A276" s="10"/>
      <c r="B276" s="34"/>
      <c r="C276" s="68"/>
      <c r="D276" s="2">
        <f>+D275+1</f>
        <v>3</v>
      </c>
      <c r="E276" s="128" t="s">
        <v>302</v>
      </c>
      <c r="F276" s="126"/>
      <c r="G276" s="127">
        <v>48.37</v>
      </c>
      <c r="H276" s="263" t="s">
        <v>305</v>
      </c>
      <c r="I276" s="68"/>
      <c r="J276" s="530"/>
    </row>
    <row r="277" spans="1:10" x14ac:dyDescent="0.25">
      <c r="A277" s="353"/>
      <c r="B277" s="354"/>
      <c r="C277" s="355"/>
      <c r="D277" s="306"/>
      <c r="E277" s="356"/>
      <c r="F277" s="357"/>
      <c r="G277" s="358"/>
      <c r="H277" s="355"/>
      <c r="I277" s="355"/>
      <c r="J277" s="530"/>
    </row>
    <row r="278" spans="1:10" x14ac:dyDescent="0.25">
      <c r="A278" s="10">
        <v>40</v>
      </c>
      <c r="B278" s="33">
        <v>44062</v>
      </c>
      <c r="C278" s="68">
        <v>56.12</v>
      </c>
      <c r="D278" s="2">
        <v>1</v>
      </c>
      <c r="E278" s="129" t="s">
        <v>306</v>
      </c>
      <c r="F278" s="126">
        <v>2.3199999999999998</v>
      </c>
      <c r="G278" s="127">
        <v>9.5299999999999994</v>
      </c>
      <c r="H278" s="68"/>
      <c r="I278" s="68" t="s">
        <v>304</v>
      </c>
      <c r="J278" s="531" t="s">
        <v>304</v>
      </c>
    </row>
    <row r="279" spans="1:10" x14ac:dyDescent="0.25">
      <c r="A279" s="10"/>
      <c r="B279" s="34"/>
      <c r="C279" s="68"/>
      <c r="D279" s="2">
        <f>+D278+1</f>
        <v>2</v>
      </c>
      <c r="E279" s="129" t="s">
        <v>307</v>
      </c>
      <c r="F279" s="126">
        <f>+G278</f>
        <v>9.5299999999999994</v>
      </c>
      <c r="G279" s="127">
        <v>28.06</v>
      </c>
      <c r="H279" s="263" t="s">
        <v>137</v>
      </c>
      <c r="I279" s="68"/>
      <c r="J279" s="530"/>
    </row>
    <row r="280" spans="1:10" x14ac:dyDescent="0.25">
      <c r="A280" s="353"/>
      <c r="B280" s="354"/>
      <c r="C280" s="355"/>
      <c r="D280" s="306">
        <f>+D279+1</f>
        <v>3</v>
      </c>
      <c r="E280" s="359" t="s">
        <v>308</v>
      </c>
      <c r="F280" s="357">
        <v>32.32</v>
      </c>
      <c r="G280" s="358">
        <v>55.12</v>
      </c>
      <c r="H280" s="355"/>
      <c r="I280" s="355"/>
      <c r="J280" s="530"/>
    </row>
    <row r="281" spans="1:10" x14ac:dyDescent="0.25">
      <c r="A281" s="10"/>
      <c r="B281" s="34"/>
      <c r="C281" s="68"/>
      <c r="D281" s="125"/>
      <c r="E281" s="125"/>
      <c r="F281" s="126"/>
      <c r="G281" s="127"/>
      <c r="H281" s="68"/>
      <c r="I281" s="68"/>
      <c r="J281" s="530"/>
    </row>
    <row r="282" spans="1:10" x14ac:dyDescent="0.25">
      <c r="A282" s="10">
        <v>41</v>
      </c>
      <c r="B282" s="33">
        <v>44063</v>
      </c>
      <c r="C282" s="68">
        <v>51.29</v>
      </c>
      <c r="D282" s="2">
        <v>1</v>
      </c>
      <c r="E282" s="130" t="s">
        <v>310</v>
      </c>
      <c r="F282" s="126">
        <v>4.0199999999999996</v>
      </c>
      <c r="G282" s="127">
        <v>29.18</v>
      </c>
      <c r="H282" s="68"/>
      <c r="I282" s="68" t="s">
        <v>309</v>
      </c>
      <c r="J282" s="531" t="s">
        <v>309</v>
      </c>
    </row>
    <row r="283" spans="1:10" x14ac:dyDescent="0.25">
      <c r="A283" s="10"/>
      <c r="B283" s="34"/>
      <c r="C283" s="68"/>
      <c r="D283" s="2">
        <f>+D282+1</f>
        <v>2</v>
      </c>
      <c r="E283" s="130" t="s">
        <v>311</v>
      </c>
      <c r="F283" s="126">
        <f>+G282</f>
        <v>29.18</v>
      </c>
      <c r="G283" s="127"/>
      <c r="H283" s="68"/>
      <c r="I283" s="68"/>
      <c r="J283" s="530"/>
    </row>
    <row r="284" spans="1:10" x14ac:dyDescent="0.25">
      <c r="A284" s="353"/>
      <c r="B284" s="354"/>
      <c r="C284" s="355"/>
      <c r="D284" s="306">
        <f>+D283+1</f>
        <v>3</v>
      </c>
      <c r="E284" s="360" t="s">
        <v>312</v>
      </c>
      <c r="F284" s="357"/>
      <c r="G284" s="358">
        <v>46.32</v>
      </c>
      <c r="H284" s="361" t="s">
        <v>313</v>
      </c>
      <c r="I284" s="355"/>
      <c r="J284" s="530"/>
    </row>
    <row r="285" spans="1:10" x14ac:dyDescent="0.25">
      <c r="A285" s="10"/>
      <c r="B285" s="34"/>
      <c r="C285" s="68"/>
      <c r="D285" s="125"/>
      <c r="E285" s="125"/>
      <c r="F285" s="126"/>
      <c r="G285" s="127"/>
      <c r="H285" s="68"/>
      <c r="I285" s="68"/>
      <c r="J285" s="530"/>
    </row>
    <row r="286" spans="1:10" x14ac:dyDescent="0.25">
      <c r="A286" s="10">
        <v>42</v>
      </c>
      <c r="B286" s="33">
        <v>44064</v>
      </c>
      <c r="C286" s="68">
        <v>56.03</v>
      </c>
      <c r="D286" s="2">
        <v>1</v>
      </c>
      <c r="E286" s="131" t="s">
        <v>315</v>
      </c>
      <c r="F286" s="126">
        <v>2.2200000000000002</v>
      </c>
      <c r="G286" s="127">
        <v>19.13</v>
      </c>
      <c r="H286" s="264" t="s">
        <v>137</v>
      </c>
      <c r="I286" s="68" t="s">
        <v>314</v>
      </c>
      <c r="J286" s="531" t="s">
        <v>314</v>
      </c>
    </row>
    <row r="287" spans="1:10" x14ac:dyDescent="0.25">
      <c r="A287" s="10"/>
      <c r="B287" s="34"/>
      <c r="C287" s="68"/>
      <c r="D287" s="2">
        <f>+D286+1</f>
        <v>2</v>
      </c>
      <c r="E287" s="131" t="s">
        <v>316</v>
      </c>
      <c r="F287" s="126">
        <v>23.57</v>
      </c>
      <c r="G287" s="127">
        <v>43.14</v>
      </c>
      <c r="H287" s="68"/>
      <c r="I287" s="68"/>
      <c r="J287" s="530"/>
    </row>
    <row r="288" spans="1:10" x14ac:dyDescent="0.25">
      <c r="A288" s="10"/>
      <c r="B288" s="34"/>
      <c r="C288" s="68"/>
      <c r="D288" s="2">
        <f>+D287+1</f>
        <v>3</v>
      </c>
      <c r="E288" s="131" t="s">
        <v>317</v>
      </c>
      <c r="F288" s="126">
        <f>+G287</f>
        <v>43.14</v>
      </c>
      <c r="G288" s="127">
        <v>55.02</v>
      </c>
      <c r="H288" s="264" t="s">
        <v>318</v>
      </c>
      <c r="I288" s="68"/>
      <c r="J288" s="530"/>
    </row>
    <row r="289" spans="1:10" x14ac:dyDescent="0.25">
      <c r="A289" s="353"/>
      <c r="B289" s="354"/>
      <c r="C289" s="355"/>
      <c r="D289" s="356"/>
      <c r="E289" s="356"/>
      <c r="F289" s="357"/>
      <c r="G289" s="358"/>
      <c r="H289" s="355"/>
      <c r="I289" s="355"/>
      <c r="J289" s="530"/>
    </row>
    <row r="290" spans="1:10" x14ac:dyDescent="0.25">
      <c r="A290" s="10">
        <v>43</v>
      </c>
      <c r="B290" s="33">
        <v>44065</v>
      </c>
      <c r="C290" s="69" t="s">
        <v>319</v>
      </c>
      <c r="D290" s="2">
        <v>1</v>
      </c>
      <c r="E290" s="132" t="s">
        <v>320</v>
      </c>
      <c r="F290" s="133">
        <v>2.2200000000000002</v>
      </c>
      <c r="G290" s="127">
        <v>6.52</v>
      </c>
      <c r="H290" s="68"/>
      <c r="I290" s="68" t="s">
        <v>987</v>
      </c>
      <c r="J290" s="531" t="s">
        <v>987</v>
      </c>
    </row>
    <row r="291" spans="1:10" x14ac:dyDescent="0.25">
      <c r="A291" s="10"/>
      <c r="B291" s="34"/>
      <c r="C291" s="68"/>
      <c r="D291" s="2">
        <f>+D290+1</f>
        <v>2</v>
      </c>
      <c r="E291" s="132" t="s">
        <v>321</v>
      </c>
      <c r="F291" s="126">
        <f>+G290</f>
        <v>6.52</v>
      </c>
      <c r="G291" s="127">
        <v>37.22</v>
      </c>
      <c r="H291" s="68"/>
      <c r="I291" s="68"/>
      <c r="J291" s="530"/>
    </row>
    <row r="292" spans="1:10" x14ac:dyDescent="0.25">
      <c r="A292" s="10"/>
      <c r="B292" s="34"/>
      <c r="C292" s="68"/>
      <c r="D292" s="2">
        <f>+D291+1</f>
        <v>3</v>
      </c>
      <c r="E292" s="132" t="s">
        <v>322</v>
      </c>
      <c r="F292" s="126">
        <f>+G291</f>
        <v>37.22</v>
      </c>
      <c r="G292" s="127">
        <v>51.35</v>
      </c>
      <c r="H292" s="69" t="s">
        <v>137</v>
      </c>
      <c r="I292" s="68"/>
      <c r="J292" s="530"/>
    </row>
    <row r="293" spans="1:10" x14ac:dyDescent="0.25">
      <c r="A293" s="10"/>
      <c r="B293" s="34"/>
      <c r="C293" s="68"/>
      <c r="D293" s="2">
        <f>+D292+1</f>
        <v>4</v>
      </c>
      <c r="E293" s="132" t="s">
        <v>323</v>
      </c>
      <c r="F293" s="126">
        <v>55.48</v>
      </c>
      <c r="G293" s="127">
        <v>59</v>
      </c>
      <c r="H293" s="265" t="s">
        <v>323</v>
      </c>
      <c r="I293" s="68"/>
      <c r="J293" s="530"/>
    </row>
    <row r="294" spans="1:10" x14ac:dyDescent="0.25">
      <c r="A294" s="353"/>
      <c r="B294" s="354"/>
      <c r="C294" s="355"/>
      <c r="D294" s="356"/>
      <c r="E294" s="356"/>
      <c r="F294" s="357"/>
      <c r="G294" s="358"/>
      <c r="H294" s="355"/>
      <c r="I294" s="355"/>
      <c r="J294" s="530"/>
    </row>
    <row r="295" spans="1:10" x14ac:dyDescent="0.25">
      <c r="A295" s="10">
        <v>44</v>
      </c>
      <c r="B295" s="33">
        <v>44066</v>
      </c>
      <c r="C295" s="68">
        <v>57.51</v>
      </c>
      <c r="D295" s="2">
        <v>1</v>
      </c>
      <c r="E295" s="134" t="s">
        <v>324</v>
      </c>
      <c r="F295" s="126">
        <v>3.18</v>
      </c>
      <c r="G295" s="127">
        <v>25.05</v>
      </c>
      <c r="H295" s="68"/>
      <c r="I295" s="68" t="s">
        <v>325</v>
      </c>
      <c r="J295" s="531" t="s">
        <v>325</v>
      </c>
    </row>
    <row r="296" spans="1:10" x14ac:dyDescent="0.25">
      <c r="A296" s="10"/>
      <c r="B296" s="34"/>
      <c r="C296" s="68"/>
      <c r="D296" s="2">
        <f>+D295+1</f>
        <v>2</v>
      </c>
      <c r="E296" s="134" t="s">
        <v>326</v>
      </c>
      <c r="F296" s="126">
        <f>+G295</f>
        <v>25.05</v>
      </c>
      <c r="G296" s="127">
        <v>49.39</v>
      </c>
      <c r="H296" s="68"/>
      <c r="I296" s="68"/>
      <c r="J296" s="530"/>
    </row>
    <row r="297" spans="1:10" x14ac:dyDescent="0.25">
      <c r="A297" s="10"/>
      <c r="B297" s="34"/>
      <c r="C297" s="68"/>
      <c r="D297" s="2">
        <f>+D296+1</f>
        <v>3</v>
      </c>
      <c r="E297" s="134" t="s">
        <v>327</v>
      </c>
      <c r="F297" s="126">
        <f>+G296</f>
        <v>49.39</v>
      </c>
      <c r="G297" s="127">
        <v>56.58</v>
      </c>
      <c r="H297" s="266" t="s">
        <v>328</v>
      </c>
      <c r="I297" s="68"/>
      <c r="J297" s="530"/>
    </row>
    <row r="298" spans="1:10" x14ac:dyDescent="0.25">
      <c r="A298" s="353"/>
      <c r="B298" s="354"/>
      <c r="C298" s="355"/>
      <c r="D298" s="306"/>
      <c r="E298" s="356"/>
      <c r="F298" s="357"/>
      <c r="G298" s="358"/>
      <c r="H298" s="355"/>
      <c r="I298" s="355"/>
      <c r="J298" s="530"/>
    </row>
    <row r="299" spans="1:10" x14ac:dyDescent="0.25">
      <c r="A299" s="10">
        <v>45</v>
      </c>
      <c r="B299" s="33">
        <v>44067</v>
      </c>
      <c r="C299" s="68">
        <v>57.05</v>
      </c>
      <c r="D299" s="2">
        <v>1</v>
      </c>
      <c r="E299" s="135" t="s">
        <v>329</v>
      </c>
      <c r="F299" s="126">
        <v>4.3600000000000003</v>
      </c>
      <c r="G299" s="127">
        <v>18.22</v>
      </c>
      <c r="H299" s="68"/>
      <c r="I299" s="68" t="s">
        <v>330</v>
      </c>
      <c r="J299" s="531" t="s">
        <v>330</v>
      </c>
    </row>
    <row r="300" spans="1:10" x14ac:dyDescent="0.25">
      <c r="A300" s="10"/>
      <c r="B300" s="34"/>
      <c r="C300" s="68"/>
      <c r="D300" s="2">
        <f>+D299+1</f>
        <v>2</v>
      </c>
      <c r="E300" s="135" t="s">
        <v>331</v>
      </c>
      <c r="F300" s="126">
        <f>+G299</f>
        <v>18.22</v>
      </c>
      <c r="G300" s="127">
        <v>31.04</v>
      </c>
      <c r="H300" s="68"/>
      <c r="I300" s="68"/>
      <c r="J300" s="530"/>
    </row>
    <row r="301" spans="1:10" x14ac:dyDescent="0.25">
      <c r="A301" s="10"/>
      <c r="B301" s="34"/>
      <c r="C301" s="68"/>
      <c r="D301" s="2">
        <f>+D300+1</f>
        <v>3</v>
      </c>
      <c r="E301" s="135" t="s">
        <v>332</v>
      </c>
      <c r="F301" s="126">
        <f>+G300</f>
        <v>31.04</v>
      </c>
      <c r="G301" s="127">
        <v>52.48</v>
      </c>
      <c r="H301" s="68"/>
      <c r="I301" s="68"/>
      <c r="J301" s="530"/>
    </row>
    <row r="302" spans="1:10" x14ac:dyDescent="0.25">
      <c r="A302" s="353"/>
      <c r="B302" s="354"/>
      <c r="C302" s="355"/>
      <c r="D302" s="306">
        <f>+D301+1</f>
        <v>4</v>
      </c>
      <c r="E302" s="362" t="s">
        <v>333</v>
      </c>
      <c r="F302" s="357">
        <f>+G301</f>
        <v>52.48</v>
      </c>
      <c r="G302" s="358">
        <v>55.5</v>
      </c>
      <c r="H302" s="363" t="s">
        <v>333</v>
      </c>
      <c r="I302" s="355"/>
      <c r="J302" s="530"/>
    </row>
    <row r="303" spans="1:10" x14ac:dyDescent="0.25">
      <c r="A303" s="10"/>
      <c r="B303" s="34"/>
      <c r="C303" s="68"/>
      <c r="D303" s="125"/>
      <c r="E303" s="125"/>
      <c r="F303" s="126"/>
      <c r="G303" s="127"/>
      <c r="H303" s="68"/>
      <c r="I303" s="68"/>
      <c r="J303" s="530"/>
    </row>
    <row r="304" spans="1:10" x14ac:dyDescent="0.25">
      <c r="A304" s="10">
        <v>46</v>
      </c>
      <c r="B304" s="33">
        <v>44068</v>
      </c>
      <c r="C304" s="70" t="s">
        <v>985</v>
      </c>
      <c r="D304" s="2">
        <v>1</v>
      </c>
      <c r="E304" s="136" t="s">
        <v>334</v>
      </c>
      <c r="F304" s="126">
        <v>2.4300000000000002</v>
      </c>
      <c r="G304" s="127">
        <v>20.29</v>
      </c>
      <c r="H304" s="68"/>
      <c r="I304" s="68" t="s">
        <v>335</v>
      </c>
      <c r="J304" s="531" t="s">
        <v>335</v>
      </c>
    </row>
    <row r="305" spans="1:10" x14ac:dyDescent="0.25">
      <c r="A305" s="10"/>
      <c r="B305" s="34"/>
      <c r="C305" s="68"/>
      <c r="D305" s="2">
        <f>+D304+1</f>
        <v>2</v>
      </c>
      <c r="E305" s="136" t="s">
        <v>336</v>
      </c>
      <c r="F305" s="126">
        <f>+G304</f>
        <v>20.29</v>
      </c>
      <c r="G305" s="127">
        <v>40.130000000000003</v>
      </c>
      <c r="H305" s="267" t="s">
        <v>137</v>
      </c>
      <c r="I305" s="68"/>
      <c r="J305" s="530"/>
    </row>
    <row r="306" spans="1:10" x14ac:dyDescent="0.25">
      <c r="A306" s="353"/>
      <c r="B306" s="354"/>
      <c r="C306" s="355"/>
      <c r="D306" s="306">
        <f>+D305+1</f>
        <v>3</v>
      </c>
      <c r="E306" s="364" t="s">
        <v>337</v>
      </c>
      <c r="F306" s="357">
        <v>47.44</v>
      </c>
      <c r="G306" s="365" t="s">
        <v>135</v>
      </c>
      <c r="H306" s="366" t="s">
        <v>338</v>
      </c>
      <c r="I306" s="355"/>
      <c r="J306" s="530"/>
    </row>
    <row r="307" spans="1:10" x14ac:dyDescent="0.25">
      <c r="A307" s="10"/>
      <c r="B307" s="34"/>
      <c r="C307" s="68"/>
      <c r="D307" s="2"/>
      <c r="E307" s="125"/>
      <c r="F307" s="126"/>
      <c r="G307" s="127"/>
      <c r="H307" s="68"/>
      <c r="I307" s="68"/>
      <c r="J307" s="530"/>
    </row>
    <row r="308" spans="1:10" x14ac:dyDescent="0.25">
      <c r="A308" s="10">
        <v>47</v>
      </c>
      <c r="B308" s="33">
        <v>44069</v>
      </c>
      <c r="C308" s="68">
        <v>46.58</v>
      </c>
      <c r="D308" s="2">
        <v>1</v>
      </c>
      <c r="E308" s="137" t="s">
        <v>339</v>
      </c>
      <c r="F308" s="126">
        <v>7.29</v>
      </c>
      <c r="G308" s="127"/>
      <c r="H308" s="70" t="s">
        <v>986</v>
      </c>
      <c r="I308" s="68" t="s">
        <v>340</v>
      </c>
      <c r="J308" s="531" t="s">
        <v>340</v>
      </c>
    </row>
    <row r="309" spans="1:10" x14ac:dyDescent="0.25">
      <c r="A309" s="10"/>
      <c r="B309" s="34"/>
      <c r="C309" s="68"/>
      <c r="D309" s="2">
        <f>+D308+1</f>
        <v>2</v>
      </c>
      <c r="E309" s="137" t="s">
        <v>341</v>
      </c>
      <c r="F309" s="126"/>
      <c r="G309" s="127">
        <v>32.42</v>
      </c>
      <c r="H309" s="68"/>
      <c r="I309" s="68"/>
      <c r="J309" s="530"/>
    </row>
    <row r="310" spans="1:10" x14ac:dyDescent="0.25">
      <c r="A310" s="353"/>
      <c r="B310" s="354"/>
      <c r="C310" s="355"/>
      <c r="D310" s="306">
        <f>+D309+1</f>
        <v>3</v>
      </c>
      <c r="E310" s="367" t="s">
        <v>343</v>
      </c>
      <c r="F310" s="357">
        <f>+G309</f>
        <v>32.42</v>
      </c>
      <c r="G310" s="358">
        <v>45.4</v>
      </c>
      <c r="H310" s="355"/>
      <c r="I310" s="355"/>
      <c r="J310" s="530"/>
    </row>
    <row r="311" spans="1:10" x14ac:dyDescent="0.25">
      <c r="A311" s="10"/>
      <c r="B311" s="34"/>
      <c r="C311" s="68"/>
      <c r="D311" s="125"/>
      <c r="E311" s="125"/>
      <c r="F311" s="126"/>
      <c r="G311" s="127"/>
      <c r="H311" s="68"/>
      <c r="I311" s="68"/>
      <c r="J311" s="530"/>
    </row>
    <row r="312" spans="1:10" x14ac:dyDescent="0.25">
      <c r="A312" s="10">
        <v>48</v>
      </c>
      <c r="B312" s="33">
        <v>44070</v>
      </c>
      <c r="C312" s="68">
        <v>56.06</v>
      </c>
      <c r="D312" s="2">
        <v>1</v>
      </c>
      <c r="E312" s="138" t="s">
        <v>344</v>
      </c>
      <c r="F312" s="126">
        <v>1.1499999999999999</v>
      </c>
      <c r="G312" s="127">
        <v>14.09</v>
      </c>
      <c r="H312" s="68"/>
      <c r="I312" s="68" t="s">
        <v>342</v>
      </c>
      <c r="J312" s="531" t="s">
        <v>342</v>
      </c>
    </row>
    <row r="313" spans="1:10" x14ac:dyDescent="0.25">
      <c r="A313" s="10"/>
      <c r="B313" s="34"/>
      <c r="C313" s="68"/>
      <c r="D313" s="2">
        <f>+D312+1</f>
        <v>2</v>
      </c>
      <c r="E313" s="138" t="s">
        <v>345</v>
      </c>
      <c r="F313" s="126">
        <f>+G312</f>
        <v>14.09</v>
      </c>
      <c r="G313" s="127">
        <v>33.25</v>
      </c>
      <c r="H313" s="268" t="s">
        <v>137</v>
      </c>
      <c r="I313" s="68"/>
    </row>
    <row r="314" spans="1:10" x14ac:dyDescent="0.25">
      <c r="A314" s="10"/>
      <c r="B314" s="34"/>
      <c r="C314" s="68"/>
      <c r="D314" s="2">
        <f>+D313+1</f>
        <v>3</v>
      </c>
      <c r="E314" s="138" t="s">
        <v>346</v>
      </c>
      <c r="F314" s="126">
        <v>37.36</v>
      </c>
      <c r="G314" s="127">
        <v>51.24</v>
      </c>
      <c r="H314" s="68"/>
      <c r="I314" s="68"/>
    </row>
    <row r="315" spans="1:10" x14ac:dyDescent="0.25">
      <c r="A315" s="10"/>
      <c r="B315" s="34"/>
      <c r="C315" s="68"/>
      <c r="D315" s="2">
        <f>+D314+1</f>
        <v>4</v>
      </c>
      <c r="E315" s="138" t="s">
        <v>347</v>
      </c>
      <c r="F315" s="126">
        <f>+G314</f>
        <v>51.24</v>
      </c>
      <c r="G315" s="127">
        <v>55.04</v>
      </c>
      <c r="H315" s="268" t="s">
        <v>347</v>
      </c>
      <c r="I315" s="68"/>
    </row>
    <row r="316" spans="1:10" x14ac:dyDescent="0.25">
      <c r="A316" s="20"/>
      <c r="B316" s="55"/>
      <c r="C316" s="94"/>
      <c r="D316" s="244"/>
      <c r="E316" s="244"/>
      <c r="F316" s="245"/>
      <c r="G316" s="246"/>
      <c r="H316" s="94"/>
      <c r="I316" s="94"/>
    </row>
    <row r="317" spans="1:10" ht="15" x14ac:dyDescent="0.25">
      <c r="A317" s="9"/>
      <c r="B317" s="28"/>
      <c r="C317" s="63"/>
      <c r="D317"/>
      <c r="E317"/>
      <c r="F317"/>
      <c r="G317" s="63"/>
      <c r="H317" s="63"/>
      <c r="I317" s="63"/>
    </row>
    <row r="318" spans="1:10" x14ac:dyDescent="0.25">
      <c r="A318" s="11">
        <v>49</v>
      </c>
      <c r="B318" s="35">
        <v>44071</v>
      </c>
      <c r="C318" s="71">
        <v>56.08</v>
      </c>
      <c r="D318" s="140">
        <v>1</v>
      </c>
      <c r="E318" s="141" t="s">
        <v>349</v>
      </c>
      <c r="F318" s="141">
        <v>7.42</v>
      </c>
      <c r="G318" s="71">
        <v>20.079999999999998</v>
      </c>
      <c r="H318" s="71"/>
      <c r="I318" s="71" t="s">
        <v>348</v>
      </c>
      <c r="J318" s="533" t="s">
        <v>348</v>
      </c>
    </row>
    <row r="319" spans="1:10" x14ac:dyDescent="0.25">
      <c r="A319" s="11"/>
      <c r="B319" s="36"/>
      <c r="C319" s="71"/>
      <c r="D319" s="140">
        <f>+D318+1</f>
        <v>2</v>
      </c>
      <c r="E319" s="141" t="s">
        <v>350</v>
      </c>
      <c r="F319" s="141">
        <f>+G318</f>
        <v>20.079999999999998</v>
      </c>
      <c r="G319" s="72">
        <v>29.1</v>
      </c>
      <c r="H319" s="71"/>
      <c r="I319" s="71"/>
      <c r="J319" s="530"/>
    </row>
    <row r="320" spans="1:10" x14ac:dyDescent="0.25">
      <c r="A320" s="11"/>
      <c r="B320" s="36"/>
      <c r="C320" s="71"/>
      <c r="D320" s="140">
        <f>+D319+1</f>
        <v>3</v>
      </c>
      <c r="E320" s="141" t="s">
        <v>351</v>
      </c>
      <c r="F320" s="142">
        <f>+G319</f>
        <v>29.1</v>
      </c>
      <c r="G320" s="71">
        <v>43.21</v>
      </c>
      <c r="H320" s="71"/>
      <c r="I320" s="71"/>
      <c r="J320" s="530"/>
    </row>
    <row r="321" spans="1:10" x14ac:dyDescent="0.25">
      <c r="A321" s="11"/>
      <c r="B321" s="36"/>
      <c r="C321" s="71"/>
      <c r="D321" s="140">
        <f>+D320+1</f>
        <v>4</v>
      </c>
      <c r="E321" s="141" t="s">
        <v>352</v>
      </c>
      <c r="F321" s="141">
        <f>+G320</f>
        <v>43.21</v>
      </c>
      <c r="G321" s="71">
        <v>51.09</v>
      </c>
      <c r="H321" s="71"/>
      <c r="I321" s="71"/>
      <c r="J321" s="530"/>
    </row>
    <row r="322" spans="1:10" x14ac:dyDescent="0.25">
      <c r="A322" s="369"/>
      <c r="B322" s="370"/>
      <c r="C322" s="371"/>
      <c r="D322" s="372">
        <f>+D321+1</f>
        <v>5</v>
      </c>
      <c r="E322" s="373" t="s">
        <v>353</v>
      </c>
      <c r="F322" s="373">
        <f>+G321</f>
        <v>51.09</v>
      </c>
      <c r="G322" s="371">
        <v>54.55</v>
      </c>
      <c r="H322" s="368" t="s">
        <v>839</v>
      </c>
      <c r="I322" s="371"/>
      <c r="J322" s="530"/>
    </row>
    <row r="323" spans="1:10" x14ac:dyDescent="0.25">
      <c r="A323" s="11"/>
      <c r="B323" s="36"/>
      <c r="C323" s="71"/>
      <c r="D323" s="141"/>
      <c r="E323" s="141"/>
      <c r="F323" s="141"/>
      <c r="G323" s="71"/>
      <c r="H323" s="71"/>
      <c r="I323" s="71"/>
      <c r="J323" s="530"/>
    </row>
    <row r="324" spans="1:10" x14ac:dyDescent="0.25">
      <c r="A324" s="11">
        <v>50</v>
      </c>
      <c r="B324" s="35">
        <v>44072</v>
      </c>
      <c r="C324" s="71">
        <v>57.43</v>
      </c>
      <c r="D324" s="140">
        <v>1</v>
      </c>
      <c r="E324" s="143" t="s">
        <v>355</v>
      </c>
      <c r="F324" s="142">
        <v>3.1</v>
      </c>
      <c r="G324" s="71">
        <v>9.39</v>
      </c>
      <c r="H324" s="71"/>
      <c r="I324" s="71" t="s">
        <v>354</v>
      </c>
      <c r="J324" s="533" t="s">
        <v>354</v>
      </c>
    </row>
    <row r="325" spans="1:10" x14ac:dyDescent="0.25">
      <c r="A325" s="11"/>
      <c r="B325" s="36"/>
      <c r="C325" s="71"/>
      <c r="D325" s="140">
        <f>+D324+1</f>
        <v>2</v>
      </c>
      <c r="E325" s="143" t="s">
        <v>356</v>
      </c>
      <c r="F325" s="141">
        <f>+G324</f>
        <v>9.39</v>
      </c>
      <c r="G325" s="71">
        <v>24.02</v>
      </c>
      <c r="H325" s="71"/>
      <c r="I325" s="71"/>
      <c r="J325" s="530"/>
    </row>
    <row r="326" spans="1:10" x14ac:dyDescent="0.25">
      <c r="A326" s="11"/>
      <c r="B326" s="36"/>
      <c r="C326" s="71"/>
      <c r="D326" s="140">
        <f>+D325+1</f>
        <v>3</v>
      </c>
      <c r="E326" s="143" t="s">
        <v>357</v>
      </c>
      <c r="F326" s="141">
        <f>+G325</f>
        <v>24.02</v>
      </c>
      <c r="G326" s="71">
        <v>34.520000000000003</v>
      </c>
      <c r="H326" s="71"/>
      <c r="I326" s="71"/>
      <c r="J326" s="530"/>
    </row>
    <row r="327" spans="1:10" x14ac:dyDescent="0.25">
      <c r="A327" s="369"/>
      <c r="B327" s="370"/>
      <c r="C327" s="371"/>
      <c r="D327" s="372">
        <f>+D326+1</f>
        <v>4</v>
      </c>
      <c r="E327" s="374" t="s">
        <v>358</v>
      </c>
      <c r="F327" s="373">
        <f>+G326</f>
        <v>34.520000000000003</v>
      </c>
      <c r="G327" s="371">
        <v>56.32</v>
      </c>
      <c r="H327" s="368" t="s">
        <v>839</v>
      </c>
      <c r="I327" s="371"/>
      <c r="J327" s="530"/>
    </row>
    <row r="328" spans="1:10" x14ac:dyDescent="0.25">
      <c r="A328" s="11"/>
      <c r="B328" s="36"/>
      <c r="C328" s="71"/>
      <c r="D328" s="140"/>
      <c r="E328" s="141"/>
      <c r="F328" s="141"/>
      <c r="G328" s="71"/>
      <c r="H328" s="71"/>
      <c r="I328" s="71"/>
      <c r="J328" s="530"/>
    </row>
    <row r="329" spans="1:10" x14ac:dyDescent="0.25">
      <c r="A329" s="11">
        <v>51</v>
      </c>
      <c r="B329" s="35">
        <v>44073</v>
      </c>
      <c r="C329" s="71">
        <v>59.56</v>
      </c>
      <c r="D329" s="140">
        <v>1</v>
      </c>
      <c r="E329" s="144" t="s">
        <v>360</v>
      </c>
      <c r="F329" s="141">
        <v>5.05</v>
      </c>
      <c r="G329" s="71">
        <v>14.51</v>
      </c>
      <c r="H329" s="71"/>
      <c r="I329" s="71" t="s">
        <v>359</v>
      </c>
      <c r="J329" s="533" t="s">
        <v>359</v>
      </c>
    </row>
    <row r="330" spans="1:10" x14ac:dyDescent="0.25">
      <c r="A330" s="11"/>
      <c r="B330" s="36"/>
      <c r="C330" s="71"/>
      <c r="D330" s="140">
        <f>+D329+1</f>
        <v>2</v>
      </c>
      <c r="E330" s="144" t="s">
        <v>361</v>
      </c>
      <c r="F330" s="141">
        <f>+G329</f>
        <v>14.51</v>
      </c>
      <c r="G330" s="71">
        <v>37.14</v>
      </c>
      <c r="H330" s="270" t="s">
        <v>137</v>
      </c>
      <c r="I330" s="71"/>
      <c r="J330" s="530"/>
    </row>
    <row r="331" spans="1:10" x14ac:dyDescent="0.25">
      <c r="A331" s="11"/>
      <c r="B331" s="36"/>
      <c r="C331" s="71"/>
      <c r="D331" s="140">
        <f>+D330+1</f>
        <v>3</v>
      </c>
      <c r="E331" s="144" t="s">
        <v>362</v>
      </c>
      <c r="F331" s="142">
        <v>40.200000000000003</v>
      </c>
      <c r="G331" s="71">
        <v>48.35</v>
      </c>
      <c r="H331" s="71"/>
      <c r="I331" s="71"/>
      <c r="J331" s="530"/>
    </row>
    <row r="332" spans="1:10" x14ac:dyDescent="0.25">
      <c r="A332" s="369"/>
      <c r="B332" s="370"/>
      <c r="C332" s="371"/>
      <c r="D332" s="372">
        <f>+D331+1</f>
        <v>4</v>
      </c>
      <c r="E332" s="375" t="s">
        <v>363</v>
      </c>
      <c r="F332" s="373">
        <f>+G331</f>
        <v>48.35</v>
      </c>
      <c r="G332" s="371">
        <v>58.58</v>
      </c>
      <c r="H332" s="368" t="s">
        <v>839</v>
      </c>
      <c r="I332" s="371"/>
      <c r="J332" s="530"/>
    </row>
    <row r="333" spans="1:10" x14ac:dyDescent="0.25">
      <c r="A333" s="11"/>
      <c r="B333" s="36"/>
      <c r="C333" s="71"/>
      <c r="D333" s="141"/>
      <c r="E333" s="141"/>
      <c r="F333" s="141"/>
      <c r="G333" s="71"/>
      <c r="H333" s="71"/>
      <c r="I333" s="71"/>
      <c r="J333" s="530"/>
    </row>
    <row r="334" spans="1:10" x14ac:dyDescent="0.25">
      <c r="A334" s="11">
        <v>52</v>
      </c>
      <c r="B334" s="37" t="s">
        <v>364</v>
      </c>
      <c r="C334" s="71">
        <v>59.39</v>
      </c>
      <c r="D334" s="140">
        <v>1</v>
      </c>
      <c r="E334" s="145" t="s">
        <v>366</v>
      </c>
      <c r="F334" s="141">
        <v>5.56</v>
      </c>
      <c r="G334" s="71">
        <v>19.55</v>
      </c>
      <c r="H334" s="71"/>
      <c r="I334" s="71" t="s">
        <v>365</v>
      </c>
      <c r="J334" s="533" t="s">
        <v>365</v>
      </c>
    </row>
    <row r="335" spans="1:10" x14ac:dyDescent="0.25">
      <c r="A335" s="11"/>
      <c r="B335" s="36"/>
      <c r="C335" s="71"/>
      <c r="D335" s="140">
        <f>+D334+1</f>
        <v>2</v>
      </c>
      <c r="E335" s="145" t="s">
        <v>367</v>
      </c>
      <c r="F335" s="141">
        <f>+G334</f>
        <v>19.55</v>
      </c>
      <c r="G335" s="71">
        <v>35.03</v>
      </c>
      <c r="H335" s="71"/>
      <c r="I335" s="71"/>
      <c r="J335" s="530"/>
    </row>
    <row r="336" spans="1:10" x14ac:dyDescent="0.25">
      <c r="A336" s="369"/>
      <c r="B336" s="370"/>
      <c r="C336" s="371"/>
      <c r="D336" s="372">
        <f>+D335+1</f>
        <v>3</v>
      </c>
      <c r="E336" s="376" t="s">
        <v>368</v>
      </c>
      <c r="F336" s="373">
        <f>+G335</f>
        <v>35.03</v>
      </c>
      <c r="G336" s="371">
        <v>58.45</v>
      </c>
      <c r="H336" s="368" t="s">
        <v>839</v>
      </c>
      <c r="I336" s="371"/>
      <c r="J336" s="530"/>
    </row>
    <row r="337" spans="1:10" x14ac:dyDescent="0.25">
      <c r="A337" s="11"/>
      <c r="B337" s="36"/>
      <c r="C337" s="71"/>
      <c r="D337" s="140"/>
      <c r="E337" s="141"/>
      <c r="F337" s="141"/>
      <c r="G337" s="71"/>
      <c r="H337" s="71"/>
      <c r="I337" s="71"/>
      <c r="J337" s="530"/>
    </row>
    <row r="338" spans="1:10" x14ac:dyDescent="0.25">
      <c r="A338" s="11">
        <v>53</v>
      </c>
      <c r="B338" s="35">
        <v>44075</v>
      </c>
      <c r="C338" s="71">
        <v>58.21</v>
      </c>
      <c r="D338" s="140">
        <v>1</v>
      </c>
      <c r="E338" s="146" t="s">
        <v>369</v>
      </c>
      <c r="F338" s="141">
        <v>3.53</v>
      </c>
      <c r="G338" s="72">
        <v>15.2</v>
      </c>
      <c r="H338" s="71"/>
      <c r="I338" s="71" t="s">
        <v>370</v>
      </c>
      <c r="J338" s="533" t="s">
        <v>370</v>
      </c>
    </row>
    <row r="339" spans="1:10" x14ac:dyDescent="0.25">
      <c r="A339" s="11"/>
      <c r="B339" s="36"/>
      <c r="C339" s="71"/>
      <c r="D339" s="140">
        <f>+D338+1</f>
        <v>2</v>
      </c>
      <c r="E339" s="146" t="s">
        <v>371</v>
      </c>
      <c r="F339" s="142">
        <f>+G338</f>
        <v>15.2</v>
      </c>
      <c r="G339" s="71">
        <v>24.33</v>
      </c>
      <c r="H339" s="71"/>
      <c r="I339" s="71"/>
      <c r="J339" s="530"/>
    </row>
    <row r="340" spans="1:10" x14ac:dyDescent="0.25">
      <c r="A340" s="11"/>
      <c r="B340" s="36"/>
      <c r="C340" s="71"/>
      <c r="D340" s="140">
        <f>+D339+1</f>
        <v>3</v>
      </c>
      <c r="E340" s="146" t="s">
        <v>372</v>
      </c>
      <c r="F340" s="142">
        <f>+G339</f>
        <v>24.33</v>
      </c>
      <c r="G340" s="71">
        <v>43.48</v>
      </c>
      <c r="H340" s="71"/>
      <c r="I340" s="71"/>
      <c r="J340" s="530"/>
    </row>
    <row r="341" spans="1:10" x14ac:dyDescent="0.25">
      <c r="A341" s="369"/>
      <c r="B341" s="370"/>
      <c r="C341" s="371"/>
      <c r="D341" s="372">
        <f>+D340+1</f>
        <v>4</v>
      </c>
      <c r="E341" s="377" t="s">
        <v>373</v>
      </c>
      <c r="F341" s="373">
        <f>+G340</f>
        <v>43.48</v>
      </c>
      <c r="G341" s="371">
        <v>57.46</v>
      </c>
      <c r="H341" s="379" t="s">
        <v>374</v>
      </c>
      <c r="I341" s="378"/>
      <c r="J341" s="533" t="s">
        <v>374</v>
      </c>
    </row>
    <row r="342" spans="1:10" x14ac:dyDescent="0.25">
      <c r="A342" s="380"/>
      <c r="B342" s="381"/>
      <c r="C342" s="382"/>
      <c r="D342" s="383"/>
      <c r="E342" s="383"/>
      <c r="F342" s="383"/>
      <c r="G342" s="382"/>
      <c r="H342" s="382"/>
      <c r="I342" s="382"/>
      <c r="J342" s="530"/>
    </row>
    <row r="343" spans="1:10" x14ac:dyDescent="0.25">
      <c r="A343" s="11">
        <v>54</v>
      </c>
      <c r="B343" s="35">
        <v>44076</v>
      </c>
      <c r="C343" s="72">
        <v>54.4</v>
      </c>
      <c r="D343" s="140">
        <v>1</v>
      </c>
      <c r="E343" s="147" t="s">
        <v>376</v>
      </c>
      <c r="F343" s="142">
        <v>4.5</v>
      </c>
      <c r="G343" s="71">
        <v>14.58</v>
      </c>
      <c r="H343" s="71"/>
      <c r="I343" s="71" t="s">
        <v>375</v>
      </c>
      <c r="J343" s="533" t="s">
        <v>375</v>
      </c>
    </row>
    <row r="344" spans="1:10" x14ac:dyDescent="0.25">
      <c r="A344" s="11"/>
      <c r="B344" s="36"/>
      <c r="C344" s="71"/>
      <c r="D344" s="140">
        <f t="shared" ref="D344:D349" si="16">+D343+1</f>
        <v>2</v>
      </c>
      <c r="E344" s="147" t="s">
        <v>377</v>
      </c>
      <c r="F344" s="141">
        <f t="shared" ref="F344:F349" si="17">+G343</f>
        <v>14.58</v>
      </c>
      <c r="G344" s="71">
        <v>23.14</v>
      </c>
      <c r="H344" s="71"/>
      <c r="I344" s="71"/>
      <c r="J344" s="530"/>
    </row>
    <row r="345" spans="1:10" x14ac:dyDescent="0.25">
      <c r="A345" s="11"/>
      <c r="B345" s="36"/>
      <c r="C345" s="71"/>
      <c r="D345" s="140">
        <f t="shared" si="16"/>
        <v>3</v>
      </c>
      <c r="E345" s="147" t="s">
        <v>378</v>
      </c>
      <c r="F345" s="141">
        <f t="shared" si="17"/>
        <v>23.14</v>
      </c>
      <c r="G345" s="71">
        <v>31.34</v>
      </c>
      <c r="H345" s="71"/>
      <c r="I345" s="71"/>
      <c r="J345" s="530"/>
    </row>
    <row r="346" spans="1:10" x14ac:dyDescent="0.25">
      <c r="A346" s="11"/>
      <c r="B346" s="36"/>
      <c r="C346" s="71"/>
      <c r="D346" s="140">
        <f t="shared" si="16"/>
        <v>4</v>
      </c>
      <c r="E346" s="147" t="s">
        <v>379</v>
      </c>
      <c r="F346" s="141">
        <f t="shared" si="17"/>
        <v>31.34</v>
      </c>
      <c r="G346" s="71">
        <v>37.49</v>
      </c>
      <c r="H346" s="71"/>
      <c r="I346" s="71"/>
      <c r="J346" s="530"/>
    </row>
    <row r="347" spans="1:10" x14ac:dyDescent="0.25">
      <c r="A347" s="11"/>
      <c r="B347" s="36"/>
      <c r="C347" s="71"/>
      <c r="D347" s="140">
        <f t="shared" si="16"/>
        <v>5</v>
      </c>
      <c r="E347" s="147" t="s">
        <v>380</v>
      </c>
      <c r="F347" s="141">
        <f t="shared" si="17"/>
        <v>37.49</v>
      </c>
      <c r="G347" s="71">
        <v>42.54</v>
      </c>
      <c r="H347" s="71"/>
      <c r="I347" s="71"/>
      <c r="J347" s="530"/>
    </row>
    <row r="348" spans="1:10" x14ac:dyDescent="0.25">
      <c r="A348" s="11"/>
      <c r="B348" s="36"/>
      <c r="C348" s="71"/>
      <c r="D348" s="140">
        <f t="shared" si="16"/>
        <v>6</v>
      </c>
      <c r="E348" s="147" t="s">
        <v>381</v>
      </c>
      <c r="F348" s="141">
        <f t="shared" si="17"/>
        <v>42.54</v>
      </c>
      <c r="G348" s="71">
        <v>51.23</v>
      </c>
      <c r="H348" s="71"/>
      <c r="I348" s="71"/>
      <c r="J348" s="530"/>
    </row>
    <row r="349" spans="1:10" x14ac:dyDescent="0.25">
      <c r="A349" s="369"/>
      <c r="B349" s="370"/>
      <c r="C349" s="371"/>
      <c r="D349" s="372">
        <f t="shared" si="16"/>
        <v>7</v>
      </c>
      <c r="E349" s="384" t="s">
        <v>382</v>
      </c>
      <c r="F349" s="373">
        <f t="shared" si="17"/>
        <v>51.23</v>
      </c>
      <c r="G349" s="371">
        <v>53.46</v>
      </c>
      <c r="H349" s="385" t="s">
        <v>382</v>
      </c>
      <c r="I349" s="385"/>
      <c r="J349" s="533" t="s">
        <v>382</v>
      </c>
    </row>
    <row r="350" spans="1:10" x14ac:dyDescent="0.25">
      <c r="A350" s="11"/>
      <c r="B350" s="36"/>
      <c r="C350" s="71"/>
      <c r="D350" s="141"/>
      <c r="E350" s="141"/>
      <c r="F350" s="141"/>
      <c r="G350" s="71"/>
      <c r="H350" s="71"/>
      <c r="I350" s="71"/>
      <c r="J350" s="530"/>
    </row>
    <row r="351" spans="1:10" x14ac:dyDescent="0.25">
      <c r="A351" s="11">
        <v>55</v>
      </c>
      <c r="B351" s="35">
        <v>44077</v>
      </c>
      <c r="C351" s="71">
        <v>58.26</v>
      </c>
      <c r="D351" s="140">
        <v>1</v>
      </c>
      <c r="E351" s="148" t="s">
        <v>384</v>
      </c>
      <c r="F351" s="141">
        <v>4.4800000000000004</v>
      </c>
      <c r="G351" s="72">
        <v>10.199999999999999</v>
      </c>
      <c r="H351" s="71"/>
      <c r="I351" s="71" t="s">
        <v>383</v>
      </c>
      <c r="J351" s="533" t="s">
        <v>383</v>
      </c>
    </row>
    <row r="352" spans="1:10" x14ac:dyDescent="0.25">
      <c r="A352" s="11"/>
      <c r="B352" s="36"/>
      <c r="C352" s="71"/>
      <c r="D352" s="140">
        <f>+D351+1</f>
        <v>2</v>
      </c>
      <c r="E352" s="148" t="s">
        <v>385</v>
      </c>
      <c r="F352" s="142">
        <f>+G351</f>
        <v>10.199999999999999</v>
      </c>
      <c r="G352" s="71">
        <v>23.34</v>
      </c>
      <c r="H352" s="71"/>
      <c r="I352" s="71"/>
      <c r="J352" s="530"/>
    </row>
    <row r="353" spans="1:10" x14ac:dyDescent="0.25">
      <c r="A353" s="11"/>
      <c r="B353" s="36"/>
      <c r="C353" s="71"/>
      <c r="D353" s="140">
        <f>+D352+1</f>
        <v>3</v>
      </c>
      <c r="E353" s="148" t="s">
        <v>386</v>
      </c>
      <c r="F353" s="142">
        <f>+G352</f>
        <v>23.34</v>
      </c>
      <c r="G353" s="71">
        <v>32.47</v>
      </c>
      <c r="H353" s="71"/>
      <c r="I353" s="71"/>
      <c r="J353" s="530"/>
    </row>
    <row r="354" spans="1:10" x14ac:dyDescent="0.25">
      <c r="A354" s="11"/>
      <c r="B354" s="36"/>
      <c r="C354" s="71"/>
      <c r="D354" s="140">
        <f>+D353+1</f>
        <v>4</v>
      </c>
      <c r="E354" s="148" t="s">
        <v>387</v>
      </c>
      <c r="F354" s="142">
        <f>+G353</f>
        <v>32.47</v>
      </c>
      <c r="G354" s="71">
        <v>41.09</v>
      </c>
      <c r="H354" s="71"/>
      <c r="I354" s="71"/>
      <c r="J354" s="530"/>
    </row>
    <row r="355" spans="1:10" x14ac:dyDescent="0.25">
      <c r="A355" s="369"/>
      <c r="B355" s="370"/>
      <c r="C355" s="371"/>
      <c r="D355" s="372">
        <f>+D354+1</f>
        <v>5</v>
      </c>
      <c r="E355" s="386" t="s">
        <v>388</v>
      </c>
      <c r="F355" s="387">
        <f>+G354</f>
        <v>41.09</v>
      </c>
      <c r="G355" s="371">
        <v>57.44</v>
      </c>
      <c r="H355" s="368" t="s">
        <v>839</v>
      </c>
      <c r="I355" s="371"/>
      <c r="J355" s="530"/>
    </row>
    <row r="356" spans="1:10" x14ac:dyDescent="0.25">
      <c r="A356" s="380"/>
      <c r="B356" s="381"/>
      <c r="C356" s="382"/>
      <c r="D356" s="383"/>
      <c r="E356" s="383"/>
      <c r="F356" s="383"/>
      <c r="G356" s="382"/>
      <c r="H356" s="382"/>
      <c r="I356" s="382"/>
      <c r="J356" s="530"/>
    </row>
    <row r="357" spans="1:10" x14ac:dyDescent="0.25">
      <c r="A357" s="11">
        <v>56</v>
      </c>
      <c r="B357" s="35">
        <v>44078</v>
      </c>
      <c r="C357" s="71">
        <v>34.06</v>
      </c>
      <c r="D357" s="140">
        <v>1</v>
      </c>
      <c r="E357" s="149" t="s">
        <v>389</v>
      </c>
      <c r="F357" s="142">
        <v>1.2</v>
      </c>
      <c r="G357" s="71">
        <v>7.46</v>
      </c>
      <c r="H357" s="71"/>
      <c r="I357" s="71" t="s">
        <v>390</v>
      </c>
      <c r="J357" s="533" t="s">
        <v>390</v>
      </c>
    </row>
    <row r="358" spans="1:10" x14ac:dyDescent="0.25">
      <c r="A358" s="11"/>
      <c r="B358" s="36"/>
      <c r="C358" s="71"/>
      <c r="D358" s="140">
        <f>+D357+1</f>
        <v>2</v>
      </c>
      <c r="E358" s="149" t="s">
        <v>391</v>
      </c>
      <c r="F358" s="141">
        <f>+G357</f>
        <v>7.46</v>
      </c>
      <c r="G358" s="71">
        <v>13.22</v>
      </c>
      <c r="H358" s="71"/>
      <c r="I358" s="71"/>
      <c r="J358" s="530"/>
    </row>
    <row r="359" spans="1:10" x14ac:dyDescent="0.25">
      <c r="A359" s="11"/>
      <c r="B359" s="36"/>
      <c r="C359" s="71"/>
      <c r="D359" s="140">
        <f>+D358+1</f>
        <v>3</v>
      </c>
      <c r="E359" s="149" t="s">
        <v>392</v>
      </c>
      <c r="F359" s="141">
        <f>+G358</f>
        <v>13.22</v>
      </c>
      <c r="G359" s="71">
        <v>30.11</v>
      </c>
      <c r="H359" s="71"/>
      <c r="I359" s="71"/>
      <c r="J359" s="530"/>
    </row>
    <row r="360" spans="1:10" x14ac:dyDescent="0.25">
      <c r="A360" s="11"/>
      <c r="B360" s="36"/>
      <c r="C360" s="71"/>
      <c r="D360" s="140">
        <f>+D359+1</f>
        <v>4</v>
      </c>
      <c r="E360" s="149" t="s">
        <v>393</v>
      </c>
      <c r="F360" s="141">
        <f>+G359</f>
        <v>30.11</v>
      </c>
      <c r="G360" s="71">
        <v>33.090000000000003</v>
      </c>
      <c r="H360" s="291" t="s">
        <v>393</v>
      </c>
      <c r="I360" s="291"/>
      <c r="J360" s="533" t="s">
        <v>393</v>
      </c>
    </row>
    <row r="361" spans="1:10" x14ac:dyDescent="0.25">
      <c r="A361" s="369"/>
      <c r="B361" s="370"/>
      <c r="C361" s="371"/>
      <c r="D361" s="373"/>
      <c r="E361" s="373"/>
      <c r="F361" s="373"/>
      <c r="G361" s="371"/>
      <c r="H361" s="371"/>
      <c r="I361" s="371"/>
      <c r="J361" s="530"/>
    </row>
    <row r="362" spans="1:10" x14ac:dyDescent="0.25">
      <c r="A362" s="380">
        <v>57</v>
      </c>
      <c r="B362" s="388">
        <v>44079</v>
      </c>
      <c r="C362" s="382">
        <v>57.57</v>
      </c>
      <c r="D362" s="389">
        <v>1</v>
      </c>
      <c r="E362" s="390" t="s">
        <v>394</v>
      </c>
      <c r="F362" s="383">
        <v>5.18</v>
      </c>
      <c r="G362" s="382">
        <v>15.38</v>
      </c>
      <c r="H362" s="382"/>
      <c r="I362" s="382" t="s">
        <v>395</v>
      </c>
      <c r="J362" s="533" t="s">
        <v>395</v>
      </c>
    </row>
    <row r="363" spans="1:10" x14ac:dyDescent="0.25">
      <c r="A363" s="11"/>
      <c r="B363" s="36"/>
      <c r="C363" s="71"/>
      <c r="D363" s="140">
        <f>+D362+1</f>
        <v>2</v>
      </c>
      <c r="E363" s="150" t="s">
        <v>401</v>
      </c>
      <c r="F363" s="141">
        <f>+G362</f>
        <v>15.38</v>
      </c>
      <c r="G363" s="71">
        <v>22.19</v>
      </c>
      <c r="H363" s="71"/>
      <c r="I363" s="71"/>
      <c r="J363" s="530"/>
    </row>
    <row r="364" spans="1:10" x14ac:dyDescent="0.25">
      <c r="A364" s="11"/>
      <c r="B364" s="36"/>
      <c r="C364" s="71"/>
      <c r="D364" s="140">
        <f>+D363+1</f>
        <v>3</v>
      </c>
      <c r="E364" s="150" t="s">
        <v>402</v>
      </c>
      <c r="F364" s="141">
        <f>+G363</f>
        <v>22.19</v>
      </c>
      <c r="G364" s="71">
        <v>46.27</v>
      </c>
      <c r="H364" s="71"/>
      <c r="I364" s="71"/>
      <c r="J364" s="530"/>
    </row>
    <row r="365" spans="1:10" x14ac:dyDescent="0.25">
      <c r="A365" s="11"/>
      <c r="B365" s="36"/>
      <c r="C365" s="71"/>
      <c r="D365" s="140">
        <f>+D364+1</f>
        <v>4</v>
      </c>
      <c r="E365" s="150" t="s">
        <v>403</v>
      </c>
      <c r="F365" s="141">
        <f>+G364</f>
        <v>46.27</v>
      </c>
      <c r="G365" s="71">
        <v>50.19</v>
      </c>
      <c r="H365" s="71"/>
      <c r="I365" s="71"/>
      <c r="J365" s="530"/>
    </row>
    <row r="366" spans="1:10" x14ac:dyDescent="0.25">
      <c r="A366" s="11"/>
      <c r="B366" s="36"/>
      <c r="C366" s="71"/>
      <c r="D366" s="140">
        <f>+D365+1</f>
        <v>5</v>
      </c>
      <c r="E366" s="150" t="s">
        <v>396</v>
      </c>
      <c r="F366" s="141">
        <f>+G365</f>
        <v>50.19</v>
      </c>
      <c r="G366" s="71">
        <v>54.25</v>
      </c>
      <c r="H366" s="71"/>
      <c r="I366" s="71"/>
      <c r="J366" s="530"/>
    </row>
    <row r="367" spans="1:10" x14ac:dyDescent="0.25">
      <c r="A367" s="369"/>
      <c r="B367" s="370"/>
      <c r="C367" s="371"/>
      <c r="D367" s="372">
        <f>+D366+1</f>
        <v>6</v>
      </c>
      <c r="E367" s="391" t="s">
        <v>397</v>
      </c>
      <c r="F367" s="373">
        <f>+G366</f>
        <v>54.25</v>
      </c>
      <c r="G367" s="371">
        <v>57.19</v>
      </c>
      <c r="H367" s="392" t="s">
        <v>397</v>
      </c>
      <c r="I367" s="392"/>
      <c r="J367" s="533" t="s">
        <v>397</v>
      </c>
    </row>
    <row r="368" spans="1:10" x14ac:dyDescent="0.25">
      <c r="A368" s="11"/>
      <c r="B368" s="36"/>
      <c r="C368" s="71"/>
      <c r="D368" s="141"/>
      <c r="E368" s="141"/>
      <c r="F368" s="141"/>
      <c r="G368" s="71"/>
      <c r="H368" s="71"/>
      <c r="I368" s="71"/>
      <c r="J368" s="530"/>
    </row>
    <row r="369" spans="1:10" x14ac:dyDescent="0.25">
      <c r="A369" s="11">
        <v>58</v>
      </c>
      <c r="B369" s="35">
        <v>44080</v>
      </c>
      <c r="C369" s="71">
        <v>56.03</v>
      </c>
      <c r="D369" s="140">
        <v>1</v>
      </c>
      <c r="E369" s="150" t="s">
        <v>404</v>
      </c>
      <c r="F369" s="141">
        <v>8.09</v>
      </c>
      <c r="G369" s="71">
        <v>13.55</v>
      </c>
      <c r="H369" s="71"/>
      <c r="I369" s="71" t="s">
        <v>405</v>
      </c>
      <c r="J369" s="533" t="s">
        <v>405</v>
      </c>
    </row>
    <row r="370" spans="1:10" x14ac:dyDescent="0.25">
      <c r="A370" s="11"/>
      <c r="B370" s="36"/>
      <c r="C370" s="71"/>
      <c r="D370" s="140">
        <f>+D369+1</f>
        <v>2</v>
      </c>
      <c r="E370" s="150" t="s">
        <v>398</v>
      </c>
      <c r="F370" s="141">
        <f>+G369</f>
        <v>13.55</v>
      </c>
      <c r="G370" s="71">
        <v>24.12</v>
      </c>
      <c r="H370" s="71"/>
      <c r="I370" s="71"/>
      <c r="J370" s="530"/>
    </row>
    <row r="371" spans="1:10" x14ac:dyDescent="0.25">
      <c r="A371" s="11"/>
      <c r="B371" s="36"/>
      <c r="C371" s="71"/>
      <c r="D371" s="140">
        <f>+D370+1</f>
        <v>3</v>
      </c>
      <c r="E371" s="150" t="s">
        <v>399</v>
      </c>
      <c r="F371" s="141">
        <f>+G370</f>
        <v>24.12</v>
      </c>
      <c r="G371" s="71">
        <v>48.37</v>
      </c>
      <c r="H371" s="71"/>
      <c r="I371" s="71"/>
      <c r="J371" s="530"/>
    </row>
    <row r="372" spans="1:10" x14ac:dyDescent="0.25">
      <c r="A372" s="9"/>
      <c r="B372" s="28"/>
      <c r="C372" s="63"/>
      <c r="D372" s="140">
        <f>+D371+1</f>
        <v>4</v>
      </c>
      <c r="E372" s="150" t="s">
        <v>400</v>
      </c>
      <c r="F372" s="141">
        <f>+G371</f>
        <v>48.37</v>
      </c>
      <c r="G372" s="151">
        <v>54.5</v>
      </c>
      <c r="H372" s="292" t="s">
        <v>406</v>
      </c>
      <c r="I372" s="292"/>
      <c r="J372" s="533" t="s">
        <v>406</v>
      </c>
    </row>
    <row r="373" spans="1:10" x14ac:dyDescent="0.25">
      <c r="A373" s="393"/>
      <c r="B373" s="394"/>
      <c r="C373" s="395"/>
      <c r="D373" s="396"/>
      <c r="E373" s="396"/>
      <c r="F373" s="396"/>
      <c r="G373" s="395"/>
      <c r="H373" s="395"/>
      <c r="I373" s="395"/>
      <c r="J373" s="530"/>
    </row>
    <row r="374" spans="1:10" x14ac:dyDescent="0.25">
      <c r="A374" s="12">
        <v>69</v>
      </c>
      <c r="B374" s="39">
        <v>44081</v>
      </c>
      <c r="C374" s="73">
        <v>57.24</v>
      </c>
      <c r="D374" s="140">
        <v>1</v>
      </c>
      <c r="E374" s="152" t="s">
        <v>407</v>
      </c>
      <c r="F374" s="152">
        <v>4.2699999999999996</v>
      </c>
      <c r="G374" s="73">
        <v>20.57</v>
      </c>
      <c r="H374" s="73"/>
      <c r="I374" s="73" t="s">
        <v>408</v>
      </c>
      <c r="J374" s="533" t="s">
        <v>408</v>
      </c>
    </row>
    <row r="375" spans="1:10" x14ac:dyDescent="0.25">
      <c r="A375" s="12"/>
      <c r="B375" s="38"/>
      <c r="C375" s="73"/>
      <c r="D375" s="140">
        <f>+D374+1</f>
        <v>2</v>
      </c>
      <c r="E375" s="152" t="s">
        <v>409</v>
      </c>
      <c r="F375" s="152">
        <f>+G374</f>
        <v>20.57</v>
      </c>
      <c r="G375" s="73">
        <v>37.14</v>
      </c>
      <c r="H375" s="73"/>
      <c r="I375" s="73"/>
      <c r="J375" s="530"/>
    </row>
    <row r="376" spans="1:10" x14ac:dyDescent="0.25">
      <c r="A376" s="12"/>
      <c r="B376" s="38"/>
      <c r="C376" s="73"/>
      <c r="D376" s="140">
        <f>+D375+1</f>
        <v>3</v>
      </c>
      <c r="E376" s="152" t="s">
        <v>410</v>
      </c>
      <c r="F376" s="152">
        <f>+G375</f>
        <v>37.14</v>
      </c>
      <c r="G376" s="73">
        <v>53.42</v>
      </c>
      <c r="H376" s="63"/>
      <c r="I376" s="73"/>
      <c r="J376" s="530"/>
    </row>
    <row r="377" spans="1:10" x14ac:dyDescent="0.25">
      <c r="A377" s="393"/>
      <c r="B377" s="394"/>
      <c r="C377" s="395"/>
      <c r="D377" s="372">
        <f>+D376+1</f>
        <v>4</v>
      </c>
      <c r="E377" s="396" t="s">
        <v>411</v>
      </c>
      <c r="F377" s="396">
        <f>+G376</f>
        <v>53.42</v>
      </c>
      <c r="G377" s="395">
        <v>56.51</v>
      </c>
      <c r="H377" s="397" t="s">
        <v>411</v>
      </c>
      <c r="I377" s="94"/>
      <c r="J377" s="533" t="s">
        <v>411</v>
      </c>
    </row>
    <row r="378" spans="1:10" x14ac:dyDescent="0.25">
      <c r="A378" s="12"/>
      <c r="B378" s="38"/>
      <c r="C378" s="73"/>
      <c r="D378" s="152"/>
      <c r="E378" s="152"/>
      <c r="F378" s="152"/>
      <c r="G378" s="73"/>
      <c r="H378" s="73"/>
      <c r="I378" s="73"/>
      <c r="J378" s="530"/>
    </row>
    <row r="379" spans="1:10" x14ac:dyDescent="0.25">
      <c r="A379" s="12">
        <v>60</v>
      </c>
      <c r="B379" s="39">
        <v>44082</v>
      </c>
      <c r="C379" s="73">
        <v>57.26</v>
      </c>
      <c r="D379" s="140">
        <v>1</v>
      </c>
      <c r="E379" s="153" t="s">
        <v>413</v>
      </c>
      <c r="F379" s="152">
        <v>5.35</v>
      </c>
      <c r="G379" s="73">
        <v>20.28</v>
      </c>
      <c r="H379" s="73"/>
      <c r="I379" s="73" t="s">
        <v>412</v>
      </c>
      <c r="J379" s="533" t="s">
        <v>412</v>
      </c>
    </row>
    <row r="380" spans="1:10" x14ac:dyDescent="0.25">
      <c r="A380" s="12"/>
      <c r="B380" s="38"/>
      <c r="C380" s="73"/>
      <c r="D380" s="140">
        <f>+D379+1</f>
        <v>2</v>
      </c>
      <c r="E380" s="153" t="s">
        <v>414</v>
      </c>
      <c r="F380" s="152">
        <f>+G379</f>
        <v>20.28</v>
      </c>
      <c r="G380" s="73">
        <v>35.229999999999997</v>
      </c>
      <c r="H380" s="73"/>
      <c r="I380" s="73"/>
      <c r="J380" s="530"/>
    </row>
    <row r="381" spans="1:10" x14ac:dyDescent="0.25">
      <c r="A381" s="12"/>
      <c r="B381" s="38"/>
      <c r="C381" s="73"/>
      <c r="D381" s="140">
        <f>+D380+1</f>
        <v>3</v>
      </c>
      <c r="E381" s="153" t="s">
        <v>415</v>
      </c>
      <c r="F381" s="152">
        <f>+G380</f>
        <v>35.229999999999997</v>
      </c>
      <c r="G381" s="73">
        <v>42.43</v>
      </c>
      <c r="H381" s="73"/>
      <c r="I381" s="73"/>
      <c r="J381" s="530"/>
    </row>
    <row r="382" spans="1:10" x14ac:dyDescent="0.25">
      <c r="A382" s="393"/>
      <c r="B382" s="394"/>
      <c r="C382" s="395"/>
      <c r="D382" s="372">
        <f>+D381+1</f>
        <v>4</v>
      </c>
      <c r="E382" s="398" t="s">
        <v>416</v>
      </c>
      <c r="F382" s="396">
        <f>+G381</f>
        <v>42.43</v>
      </c>
      <c r="G382" s="395">
        <v>56.26</v>
      </c>
      <c r="H382" s="368" t="s">
        <v>839</v>
      </c>
      <c r="I382" s="395"/>
      <c r="J382" s="530"/>
    </row>
    <row r="383" spans="1:10" x14ac:dyDescent="0.25">
      <c r="A383" s="12"/>
      <c r="B383" s="38"/>
      <c r="C383" s="73"/>
      <c r="D383" s="152"/>
      <c r="E383" s="152"/>
      <c r="F383" s="152"/>
      <c r="G383" s="73"/>
      <c r="H383" s="73"/>
      <c r="I383" s="73"/>
      <c r="J383" s="530"/>
    </row>
    <row r="384" spans="1:10" x14ac:dyDescent="0.25">
      <c r="A384" s="12">
        <v>61</v>
      </c>
      <c r="B384" s="39">
        <v>44083</v>
      </c>
      <c r="C384" s="73">
        <v>55.47</v>
      </c>
      <c r="D384" s="140">
        <v>1</v>
      </c>
      <c r="E384" s="154" t="s">
        <v>417</v>
      </c>
      <c r="F384" s="152">
        <v>4.03</v>
      </c>
      <c r="G384" s="73">
        <v>13.21</v>
      </c>
      <c r="H384" s="73"/>
      <c r="I384" s="73" t="s">
        <v>418</v>
      </c>
      <c r="J384" s="533" t="s">
        <v>418</v>
      </c>
    </row>
    <row r="385" spans="1:10" x14ac:dyDescent="0.25">
      <c r="A385" s="12"/>
      <c r="B385" s="38"/>
      <c r="C385" s="73"/>
      <c r="D385" s="140">
        <f>+D384+1</f>
        <v>2</v>
      </c>
      <c r="E385" s="154" t="s">
        <v>419</v>
      </c>
      <c r="F385" s="152">
        <f>+G384</f>
        <v>13.21</v>
      </c>
      <c r="G385" s="73">
        <v>21.37</v>
      </c>
      <c r="H385" s="73"/>
      <c r="I385" s="73"/>
      <c r="J385" s="530"/>
    </row>
    <row r="386" spans="1:10" x14ac:dyDescent="0.25">
      <c r="A386" s="12"/>
      <c r="B386" s="38"/>
      <c r="C386" s="73"/>
      <c r="D386" s="140">
        <f>+D385+1</f>
        <v>3</v>
      </c>
      <c r="E386" s="154" t="s">
        <v>420</v>
      </c>
      <c r="F386" s="152">
        <f>+G385</f>
        <v>21.37</v>
      </c>
      <c r="G386" s="73">
        <v>31.33</v>
      </c>
      <c r="H386" s="73"/>
      <c r="I386" s="73"/>
      <c r="J386" s="530"/>
    </row>
    <row r="387" spans="1:10" x14ac:dyDescent="0.25">
      <c r="A387" s="12"/>
      <c r="B387" s="38"/>
      <c r="C387" s="73"/>
      <c r="D387" s="140">
        <f>+D386+1</f>
        <v>4</v>
      </c>
      <c r="E387" s="154" t="s">
        <v>421</v>
      </c>
      <c r="F387" s="152">
        <f>+G386</f>
        <v>31.33</v>
      </c>
      <c r="G387" s="73">
        <v>36.450000000000003</v>
      </c>
      <c r="H387" s="73"/>
      <c r="I387" s="73"/>
      <c r="J387" s="530"/>
    </row>
    <row r="388" spans="1:10" x14ac:dyDescent="0.25">
      <c r="A388" s="12"/>
      <c r="B388" s="38"/>
      <c r="C388" s="73"/>
      <c r="D388" s="140">
        <f>+D387+1</f>
        <v>5</v>
      </c>
      <c r="E388" s="154" t="s">
        <v>422</v>
      </c>
      <c r="F388" s="152">
        <f>+G387</f>
        <v>36.450000000000003</v>
      </c>
      <c r="G388" s="73">
        <v>46.44</v>
      </c>
      <c r="H388" s="73"/>
      <c r="I388" s="73"/>
      <c r="J388" s="530"/>
    </row>
    <row r="389" spans="1:10" x14ac:dyDescent="0.25">
      <c r="A389" s="393"/>
      <c r="B389" s="394"/>
      <c r="C389" s="395"/>
      <c r="D389" s="372">
        <f>+D388+1</f>
        <v>6</v>
      </c>
      <c r="E389" s="399" t="s">
        <v>423</v>
      </c>
      <c r="F389" s="396">
        <f>+G388</f>
        <v>46.44</v>
      </c>
      <c r="G389" s="395">
        <v>55.12</v>
      </c>
      <c r="H389" s="368" t="s">
        <v>839</v>
      </c>
      <c r="I389" s="395"/>
      <c r="J389" s="530"/>
    </row>
    <row r="390" spans="1:10" x14ac:dyDescent="0.25">
      <c r="A390" s="534"/>
      <c r="B390" s="535"/>
      <c r="C390" s="536"/>
      <c r="D390" s="537"/>
      <c r="E390" s="537"/>
      <c r="F390" s="537"/>
      <c r="G390" s="536"/>
      <c r="H390" s="536"/>
      <c r="I390" s="73"/>
      <c r="J390" s="530"/>
    </row>
    <row r="391" spans="1:10" x14ac:dyDescent="0.25">
      <c r="A391" s="12">
        <v>62</v>
      </c>
      <c r="B391" s="39">
        <v>44084</v>
      </c>
      <c r="C391" s="73">
        <v>55.28</v>
      </c>
      <c r="D391" s="140">
        <v>1</v>
      </c>
      <c r="E391" s="155" t="s">
        <v>424</v>
      </c>
      <c r="F391" s="152">
        <v>4.05</v>
      </c>
      <c r="G391" s="73">
        <v>21.12</v>
      </c>
      <c r="H391" s="269" t="s">
        <v>839</v>
      </c>
      <c r="I391" s="73" t="s">
        <v>425</v>
      </c>
      <c r="J391" s="533" t="s">
        <v>425</v>
      </c>
    </row>
    <row r="392" spans="1:10" x14ac:dyDescent="0.25">
      <c r="A392" s="393"/>
      <c r="B392" s="538"/>
      <c r="C392" s="395"/>
      <c r="D392" s="372"/>
      <c r="E392" s="400"/>
      <c r="F392" s="396"/>
      <c r="G392" s="395"/>
      <c r="H392" s="368"/>
      <c r="I392" s="73"/>
      <c r="J392" s="533"/>
    </row>
    <row r="393" spans="1:10" x14ac:dyDescent="0.25">
      <c r="A393" s="12"/>
      <c r="B393" s="39"/>
      <c r="C393" s="73"/>
      <c r="D393" s="140"/>
      <c r="E393" s="155"/>
      <c r="F393" s="152"/>
      <c r="G393" s="73"/>
      <c r="H393" s="269"/>
      <c r="I393" s="73"/>
    </row>
    <row r="394" spans="1:10" x14ac:dyDescent="0.25">
      <c r="A394" s="12">
        <v>63</v>
      </c>
      <c r="B394" s="39">
        <v>44084</v>
      </c>
      <c r="C394" s="73">
        <v>55.28</v>
      </c>
      <c r="D394" s="140">
        <v>2</v>
      </c>
      <c r="E394" s="155" t="s">
        <v>426</v>
      </c>
      <c r="F394" s="152">
        <v>27.12</v>
      </c>
      <c r="G394" s="73">
        <v>40.380000000000003</v>
      </c>
      <c r="H394" s="73"/>
      <c r="I394" s="73"/>
      <c r="J394" s="533" t="s">
        <v>425</v>
      </c>
    </row>
    <row r="395" spans="1:10" x14ac:dyDescent="0.25">
      <c r="A395" s="393"/>
      <c r="B395" s="394"/>
      <c r="C395" s="395"/>
      <c r="D395" s="372">
        <v>3</v>
      </c>
      <c r="E395" s="400" t="s">
        <v>427</v>
      </c>
      <c r="F395" s="396">
        <f>+G394</f>
        <v>40.380000000000003</v>
      </c>
      <c r="G395" s="395">
        <v>54.28</v>
      </c>
      <c r="H395" s="401" t="s">
        <v>430</v>
      </c>
      <c r="I395" s="402" t="s">
        <v>839</v>
      </c>
      <c r="J395" s="533" t="s">
        <v>839</v>
      </c>
    </row>
    <row r="396" spans="1:10" x14ac:dyDescent="0.25">
      <c r="A396" s="12"/>
      <c r="B396" s="38"/>
      <c r="C396" s="73"/>
      <c r="D396" s="140"/>
      <c r="E396" s="152"/>
      <c r="F396" s="152"/>
      <c r="G396" s="73"/>
      <c r="H396" s="73"/>
      <c r="I396" s="73"/>
      <c r="J396" s="530"/>
    </row>
    <row r="397" spans="1:10" x14ac:dyDescent="0.25">
      <c r="A397" s="12">
        <v>64</v>
      </c>
      <c r="B397" s="39">
        <v>44085</v>
      </c>
      <c r="C397" s="73">
        <v>47.47</v>
      </c>
      <c r="D397" s="140">
        <v>1</v>
      </c>
      <c r="E397" s="156" t="s">
        <v>429</v>
      </c>
      <c r="F397" s="152">
        <v>3.14</v>
      </c>
      <c r="G397" s="73">
        <v>7.38</v>
      </c>
      <c r="H397" s="73"/>
      <c r="I397" s="73" t="s">
        <v>428</v>
      </c>
      <c r="J397" s="533" t="s">
        <v>428</v>
      </c>
    </row>
    <row r="398" spans="1:10" x14ac:dyDescent="0.25">
      <c r="A398" s="13"/>
      <c r="B398" s="40"/>
      <c r="C398" s="74"/>
      <c r="D398" s="140">
        <f>+D397+1</f>
        <v>2</v>
      </c>
      <c r="E398" s="156" t="s">
        <v>431</v>
      </c>
      <c r="F398" s="156">
        <f>+G397</f>
        <v>7.38</v>
      </c>
      <c r="G398" s="74">
        <v>18.04</v>
      </c>
      <c r="H398" s="74"/>
      <c r="I398" s="74"/>
      <c r="J398" s="530"/>
    </row>
    <row r="399" spans="1:10" x14ac:dyDescent="0.25">
      <c r="A399" s="13"/>
      <c r="B399" s="40"/>
      <c r="C399" s="74"/>
      <c r="D399" s="140">
        <f>+D398+1</f>
        <v>3</v>
      </c>
      <c r="E399" s="156" t="s">
        <v>432</v>
      </c>
      <c r="F399" s="156">
        <f>+G398</f>
        <v>18.04</v>
      </c>
      <c r="G399" s="74">
        <v>28.02</v>
      </c>
      <c r="H399" s="74"/>
      <c r="I399" s="74"/>
      <c r="J399" s="530"/>
    </row>
    <row r="400" spans="1:10" x14ac:dyDescent="0.25">
      <c r="A400" s="13"/>
      <c r="B400" s="40"/>
      <c r="C400" s="74"/>
      <c r="D400" s="140">
        <f t="shared" ref="D400:D401" si="18">+D399+1</f>
        <v>4</v>
      </c>
      <c r="E400" s="156" t="s">
        <v>433</v>
      </c>
      <c r="F400" s="156">
        <f t="shared" ref="F400:F401" si="19">+G399</f>
        <v>28.02</v>
      </c>
      <c r="G400" s="74">
        <v>39.47</v>
      </c>
      <c r="H400" s="74"/>
      <c r="I400" s="74"/>
      <c r="J400" s="530"/>
    </row>
    <row r="401" spans="1:10" x14ac:dyDescent="0.25">
      <c r="A401" s="403"/>
      <c r="B401" s="404"/>
      <c r="C401" s="401"/>
      <c r="D401" s="372">
        <f t="shared" si="18"/>
        <v>5</v>
      </c>
      <c r="E401" s="405" t="s">
        <v>434</v>
      </c>
      <c r="F401" s="405">
        <f t="shared" si="19"/>
        <v>39.47</v>
      </c>
      <c r="G401" s="401">
        <v>46.36</v>
      </c>
      <c r="H401" s="401" t="s">
        <v>435</v>
      </c>
      <c r="I401" s="402" t="s">
        <v>839</v>
      </c>
      <c r="J401" s="533" t="s">
        <v>839</v>
      </c>
    </row>
    <row r="402" spans="1:10" x14ac:dyDescent="0.25">
      <c r="A402" s="13"/>
      <c r="B402" s="40"/>
      <c r="C402" s="74"/>
      <c r="D402" s="156"/>
      <c r="E402" s="156"/>
      <c r="F402" s="156"/>
      <c r="G402" s="74"/>
      <c r="H402" s="74"/>
      <c r="I402" s="74"/>
      <c r="J402" s="530"/>
    </row>
    <row r="403" spans="1:10" x14ac:dyDescent="0.25">
      <c r="A403" s="13">
        <v>65</v>
      </c>
      <c r="B403" s="41">
        <v>44086</v>
      </c>
      <c r="C403" s="74">
        <v>44.29</v>
      </c>
      <c r="D403" s="140">
        <v>1</v>
      </c>
      <c r="E403" s="156" t="s">
        <v>436</v>
      </c>
      <c r="F403" s="156">
        <v>2.5499999999999998</v>
      </c>
      <c r="G403" s="75">
        <v>7.2</v>
      </c>
      <c r="H403" s="74"/>
      <c r="I403" s="74" t="s">
        <v>444</v>
      </c>
      <c r="J403" s="533" t="s">
        <v>444</v>
      </c>
    </row>
    <row r="404" spans="1:10" x14ac:dyDescent="0.25">
      <c r="A404" s="13"/>
      <c r="B404" s="40"/>
      <c r="C404" s="74"/>
      <c r="D404" s="140">
        <f>+D403+1</f>
        <v>2</v>
      </c>
      <c r="E404" s="157" t="s">
        <v>437</v>
      </c>
      <c r="F404" s="158">
        <f>+G403</f>
        <v>7.2</v>
      </c>
      <c r="G404" s="74">
        <v>18.23</v>
      </c>
      <c r="H404" s="74"/>
      <c r="I404" s="63"/>
      <c r="J404"/>
    </row>
    <row r="405" spans="1:10" x14ac:dyDescent="0.25">
      <c r="A405" s="13"/>
      <c r="B405" s="40"/>
      <c r="C405" s="74"/>
      <c r="D405" s="140">
        <f>+D404+1</f>
        <v>3</v>
      </c>
      <c r="E405" s="157" t="s">
        <v>438</v>
      </c>
      <c r="F405" s="158">
        <f>+G404</f>
        <v>18.23</v>
      </c>
      <c r="G405" s="74">
        <v>34.31</v>
      </c>
      <c r="H405" s="74"/>
      <c r="I405" s="74"/>
      <c r="J405" s="530"/>
    </row>
    <row r="406" spans="1:10" x14ac:dyDescent="0.25">
      <c r="A406" s="403"/>
      <c r="B406" s="404"/>
      <c r="C406" s="401"/>
      <c r="D406" s="372">
        <f t="shared" ref="D406" si="20">+D405+1</f>
        <v>4</v>
      </c>
      <c r="E406" s="406" t="s">
        <v>439</v>
      </c>
      <c r="F406" s="405">
        <f>+G405</f>
        <v>34.31</v>
      </c>
      <c r="G406" s="401">
        <v>43.54</v>
      </c>
      <c r="H406" s="407" t="s">
        <v>839</v>
      </c>
      <c r="I406" s="401"/>
      <c r="J406" s="530"/>
    </row>
    <row r="407" spans="1:10" x14ac:dyDescent="0.25">
      <c r="A407" s="13"/>
      <c r="B407" s="40"/>
      <c r="C407" s="74"/>
      <c r="D407" s="156"/>
      <c r="E407" s="156"/>
      <c r="F407" s="156"/>
      <c r="G407" s="74"/>
      <c r="H407" s="74"/>
      <c r="I407" s="74"/>
      <c r="J407" s="530"/>
    </row>
    <row r="408" spans="1:10" x14ac:dyDescent="0.25">
      <c r="A408" s="13">
        <v>66</v>
      </c>
      <c r="B408" s="41">
        <v>44087</v>
      </c>
      <c r="C408" s="74">
        <v>39.39</v>
      </c>
      <c r="D408" s="140">
        <v>1</v>
      </c>
      <c r="E408" s="159" t="s">
        <v>441</v>
      </c>
      <c r="F408" s="156">
        <v>5.21</v>
      </c>
      <c r="G408" s="74">
        <v>20.350000000000001</v>
      </c>
      <c r="H408" s="74"/>
      <c r="I408" s="74" t="s">
        <v>440</v>
      </c>
      <c r="J408" s="533" t="s">
        <v>440</v>
      </c>
    </row>
    <row r="409" spans="1:10" x14ac:dyDescent="0.25">
      <c r="A409" s="13"/>
      <c r="B409" s="40"/>
      <c r="C409" s="74"/>
      <c r="D409" s="140">
        <f>+D408+1</f>
        <v>2</v>
      </c>
      <c r="E409" s="159" t="s">
        <v>442</v>
      </c>
      <c r="F409" s="156">
        <f>+G408</f>
        <v>20.350000000000001</v>
      </c>
      <c r="G409" s="74">
        <v>33.03</v>
      </c>
      <c r="H409" s="74"/>
      <c r="I409" s="74"/>
      <c r="J409" s="530"/>
    </row>
    <row r="410" spans="1:10" x14ac:dyDescent="0.25">
      <c r="A410" s="403"/>
      <c r="B410" s="404"/>
      <c r="C410" s="401"/>
      <c r="D410" s="372">
        <f>+D409+1</f>
        <v>3</v>
      </c>
      <c r="E410" s="408" t="s">
        <v>443</v>
      </c>
      <c r="F410" s="405">
        <f>+G409</f>
        <v>33.03</v>
      </c>
      <c r="G410" s="401">
        <v>38.47</v>
      </c>
      <c r="H410" s="409" t="s">
        <v>446</v>
      </c>
      <c r="I410" s="407" t="s">
        <v>839</v>
      </c>
      <c r="J410" s="533" t="s">
        <v>839</v>
      </c>
    </row>
    <row r="411" spans="1:10" x14ac:dyDescent="0.25">
      <c r="A411" s="13"/>
      <c r="B411" s="40"/>
      <c r="C411" s="74"/>
      <c r="D411" s="156"/>
      <c r="E411" s="156"/>
      <c r="F411" s="156"/>
      <c r="G411" s="74"/>
      <c r="H411" s="74"/>
      <c r="I411" s="74"/>
      <c r="J411" s="530"/>
    </row>
    <row r="412" spans="1:10" x14ac:dyDescent="0.25">
      <c r="A412" s="13">
        <v>67</v>
      </c>
      <c r="B412" s="41">
        <v>44088</v>
      </c>
      <c r="C412" s="75">
        <v>55.1</v>
      </c>
      <c r="D412" s="140">
        <v>1</v>
      </c>
      <c r="E412" s="160" t="s">
        <v>447</v>
      </c>
      <c r="F412" s="156">
        <v>6.08</v>
      </c>
      <c r="G412" s="74">
        <v>16.13</v>
      </c>
      <c r="H412" s="74"/>
      <c r="I412" s="74" t="s">
        <v>445</v>
      </c>
      <c r="J412" s="533" t="s">
        <v>445</v>
      </c>
    </row>
    <row r="413" spans="1:10" x14ac:dyDescent="0.25">
      <c r="A413" s="13"/>
      <c r="B413" s="40"/>
      <c r="C413" s="74"/>
      <c r="D413" s="140">
        <f>+D412+1</f>
        <v>2</v>
      </c>
      <c r="E413" s="160" t="s">
        <v>448</v>
      </c>
      <c r="F413" s="156">
        <f>+G412</f>
        <v>16.13</v>
      </c>
      <c r="G413" s="74">
        <v>28.58</v>
      </c>
      <c r="H413" s="74"/>
      <c r="I413" s="74"/>
      <c r="J413" s="530"/>
    </row>
    <row r="414" spans="1:10" x14ac:dyDescent="0.25">
      <c r="A414" s="13"/>
      <c r="B414" s="40"/>
      <c r="C414" s="74"/>
      <c r="D414" s="140">
        <f>+D413+1</f>
        <v>3</v>
      </c>
      <c r="E414" s="160" t="s">
        <v>449</v>
      </c>
      <c r="F414" s="156">
        <f t="shared" ref="F414:F415" si="21">+G413</f>
        <v>28.58</v>
      </c>
      <c r="G414" s="75">
        <v>42</v>
      </c>
      <c r="H414" s="74"/>
      <c r="I414" s="74"/>
      <c r="J414" s="530"/>
    </row>
    <row r="415" spans="1:10" x14ac:dyDescent="0.25">
      <c r="A415" s="403"/>
      <c r="B415" s="404"/>
      <c r="C415" s="401"/>
      <c r="D415" s="372">
        <f>+D414+1</f>
        <v>4</v>
      </c>
      <c r="E415" s="410" t="s">
        <v>450</v>
      </c>
      <c r="F415" s="411">
        <f t="shared" si="21"/>
        <v>42</v>
      </c>
      <c r="G415" s="401">
        <v>54.01</v>
      </c>
      <c r="H415" s="412"/>
      <c r="I415" s="413" t="s">
        <v>839</v>
      </c>
      <c r="J415" s="533" t="s">
        <v>839</v>
      </c>
    </row>
    <row r="416" spans="1:10" x14ac:dyDescent="0.25">
      <c r="A416" s="13"/>
      <c r="B416" s="40"/>
      <c r="C416" s="74"/>
      <c r="D416" s="156"/>
      <c r="E416" s="156"/>
      <c r="F416" s="156"/>
      <c r="G416" s="74"/>
      <c r="H416" s="74"/>
      <c r="I416" s="74"/>
      <c r="J416" s="530"/>
    </row>
    <row r="417" spans="1:10" x14ac:dyDescent="0.25">
      <c r="A417" s="13">
        <v>68</v>
      </c>
      <c r="B417" s="41">
        <v>44089</v>
      </c>
      <c r="C417" s="75">
        <v>50.2</v>
      </c>
      <c r="D417" s="140">
        <v>1</v>
      </c>
      <c r="E417" s="160" t="s">
        <v>451</v>
      </c>
      <c r="F417" s="156">
        <v>3.02</v>
      </c>
      <c r="G417" s="74">
        <v>22.41</v>
      </c>
      <c r="H417" s="74"/>
      <c r="I417" s="74" t="s">
        <v>452</v>
      </c>
      <c r="J417" s="533" t="s">
        <v>452</v>
      </c>
    </row>
    <row r="418" spans="1:10" x14ac:dyDescent="0.25">
      <c r="A418" s="13"/>
      <c r="B418" s="40"/>
      <c r="C418" s="74"/>
      <c r="D418" s="140">
        <f>+D417+1</f>
        <v>2</v>
      </c>
      <c r="E418" s="161" t="s">
        <v>453</v>
      </c>
      <c r="F418" s="156">
        <f>+G417</f>
        <v>22.41</v>
      </c>
      <c r="G418" s="74">
        <v>38.14</v>
      </c>
      <c r="H418" s="74"/>
      <c r="I418" s="74"/>
      <c r="J418" s="530"/>
    </row>
    <row r="419" spans="1:10" x14ac:dyDescent="0.25">
      <c r="A419" s="13"/>
      <c r="B419" s="40"/>
      <c r="C419" s="74"/>
      <c r="D419" s="140">
        <f>+D418+1</f>
        <v>3</v>
      </c>
      <c r="E419" s="161" t="s">
        <v>454</v>
      </c>
      <c r="F419" s="156">
        <f>+G418</f>
        <v>38.14</v>
      </c>
      <c r="G419" s="74">
        <v>49.15</v>
      </c>
      <c r="H419" s="271" t="s">
        <v>839</v>
      </c>
      <c r="I419" s="74"/>
      <c r="J419" s="530"/>
    </row>
    <row r="420" spans="1:10" x14ac:dyDescent="0.25">
      <c r="A420" s="403"/>
      <c r="B420" s="404"/>
      <c r="C420" s="401"/>
      <c r="D420" s="372"/>
      <c r="E420" s="405"/>
      <c r="F420" s="405"/>
      <c r="G420" s="401"/>
      <c r="H420" s="401"/>
      <c r="I420" s="401"/>
      <c r="J420" s="530"/>
    </row>
    <row r="421" spans="1:10" x14ac:dyDescent="0.25">
      <c r="A421" s="414">
        <v>69</v>
      </c>
      <c r="B421" s="415">
        <v>44090</v>
      </c>
      <c r="C421" s="416">
        <v>58.25</v>
      </c>
      <c r="D421" s="389">
        <v>1</v>
      </c>
      <c r="E421" s="417" t="s">
        <v>455</v>
      </c>
      <c r="F421" s="418">
        <v>7.08</v>
      </c>
      <c r="G421" s="416">
        <v>16.489999999999998</v>
      </c>
      <c r="H421" s="416"/>
      <c r="I421" s="416" t="s">
        <v>459</v>
      </c>
      <c r="J421" s="533" t="s">
        <v>459</v>
      </c>
    </row>
    <row r="422" spans="1:10" x14ac:dyDescent="0.25">
      <c r="A422" s="13"/>
      <c r="B422" s="40"/>
      <c r="C422" s="74"/>
      <c r="D422" s="140">
        <f>+D421+1</f>
        <v>2</v>
      </c>
      <c r="E422" s="161" t="s">
        <v>456</v>
      </c>
      <c r="F422" s="156">
        <f>+G421</f>
        <v>16.489999999999998</v>
      </c>
      <c r="G422" s="74">
        <v>35.479999999999997</v>
      </c>
      <c r="H422" s="74"/>
      <c r="I422" s="74"/>
      <c r="J422" s="530"/>
    </row>
    <row r="423" spans="1:10" x14ac:dyDescent="0.25">
      <c r="A423" s="13"/>
      <c r="B423" s="40"/>
      <c r="C423" s="74"/>
      <c r="D423" s="140">
        <f>+D422+1</f>
        <v>3</v>
      </c>
      <c r="E423" s="161" t="s">
        <v>457</v>
      </c>
      <c r="F423" s="156">
        <f>+G422</f>
        <v>35.479999999999997</v>
      </c>
      <c r="G423" s="74">
        <v>48.51</v>
      </c>
      <c r="H423" s="74"/>
      <c r="I423" s="74"/>
      <c r="J423" s="530"/>
    </row>
    <row r="424" spans="1:10" x14ac:dyDescent="0.25">
      <c r="A424" s="403"/>
      <c r="B424" s="404"/>
      <c r="C424" s="401"/>
      <c r="D424" s="372">
        <f>+D423+1</f>
        <v>4</v>
      </c>
      <c r="E424" s="419" t="s">
        <v>458</v>
      </c>
      <c r="F424" s="405">
        <f>+G423</f>
        <v>48.51</v>
      </c>
      <c r="G424" s="401">
        <v>57.46</v>
      </c>
      <c r="H424" s="420" t="s">
        <v>839</v>
      </c>
      <c r="I424" s="401"/>
      <c r="J424" s="530"/>
    </row>
    <row r="425" spans="1:10" x14ac:dyDescent="0.25">
      <c r="A425" s="13"/>
      <c r="B425" s="40"/>
      <c r="C425" s="74"/>
      <c r="D425" s="156"/>
      <c r="E425" s="156"/>
      <c r="F425" s="156"/>
      <c r="G425" s="74"/>
      <c r="H425" s="74"/>
      <c r="I425" s="74"/>
      <c r="J425" s="530"/>
    </row>
    <row r="426" spans="1:10" x14ac:dyDescent="0.25">
      <c r="A426" s="13">
        <v>70</v>
      </c>
      <c r="B426" s="41">
        <v>44091</v>
      </c>
      <c r="C426" s="74">
        <v>57.06</v>
      </c>
      <c r="D426" s="140">
        <v>1</v>
      </c>
      <c r="E426" s="162" t="s">
        <v>461</v>
      </c>
      <c r="F426" s="158">
        <v>4.2</v>
      </c>
      <c r="G426" s="74">
        <v>8.15</v>
      </c>
      <c r="H426" s="74"/>
      <c r="I426" s="74" t="s">
        <v>460</v>
      </c>
      <c r="J426" s="533" t="s">
        <v>460</v>
      </c>
    </row>
    <row r="427" spans="1:10" x14ac:dyDescent="0.25">
      <c r="A427" s="13"/>
      <c r="B427" s="40"/>
      <c r="C427" s="74"/>
      <c r="D427" s="140">
        <f t="shared" ref="D427:D432" si="22">+D426+1</f>
        <v>2</v>
      </c>
      <c r="E427" s="162" t="s">
        <v>462</v>
      </c>
      <c r="F427" s="158">
        <f>+G426</f>
        <v>8.15</v>
      </c>
      <c r="G427" s="74">
        <v>19.440000000000001</v>
      </c>
      <c r="H427" s="74"/>
      <c r="I427" s="74"/>
      <c r="J427" s="530"/>
    </row>
    <row r="428" spans="1:10" x14ac:dyDescent="0.25">
      <c r="A428" s="13"/>
      <c r="B428" s="40"/>
      <c r="C428" s="74"/>
      <c r="D428" s="140">
        <f t="shared" si="22"/>
        <v>3</v>
      </c>
      <c r="E428" s="162" t="s">
        <v>463</v>
      </c>
      <c r="F428" s="158">
        <f t="shared" ref="F428:F432" si="23">+G427</f>
        <v>19.440000000000001</v>
      </c>
      <c r="G428" s="74">
        <v>28.39</v>
      </c>
      <c r="H428" s="74"/>
      <c r="I428" s="74"/>
      <c r="J428" s="530"/>
    </row>
    <row r="429" spans="1:10" x14ac:dyDescent="0.25">
      <c r="A429" s="13"/>
      <c r="B429" s="40"/>
      <c r="C429" s="74"/>
      <c r="D429" s="140">
        <f t="shared" si="22"/>
        <v>4</v>
      </c>
      <c r="E429" s="162" t="s">
        <v>464</v>
      </c>
      <c r="F429" s="158">
        <f t="shared" si="23"/>
        <v>28.39</v>
      </c>
      <c r="G429" s="74">
        <v>39.08</v>
      </c>
      <c r="H429" s="74"/>
      <c r="I429" s="74"/>
      <c r="J429" s="530"/>
    </row>
    <row r="430" spans="1:10" x14ac:dyDescent="0.25">
      <c r="A430" s="13"/>
      <c r="B430" s="40"/>
      <c r="C430" s="74"/>
      <c r="D430" s="140">
        <f t="shared" si="22"/>
        <v>5</v>
      </c>
      <c r="E430" s="162" t="s">
        <v>465</v>
      </c>
      <c r="F430" s="158">
        <f t="shared" si="23"/>
        <v>39.08</v>
      </c>
      <c r="G430" s="74">
        <v>43.52</v>
      </c>
      <c r="H430" s="272"/>
      <c r="I430" s="74"/>
      <c r="J430" s="530"/>
    </row>
    <row r="431" spans="1:10" x14ac:dyDescent="0.25">
      <c r="A431" s="13"/>
      <c r="B431" s="40"/>
      <c r="C431" s="74"/>
      <c r="D431" s="140">
        <f t="shared" si="22"/>
        <v>6</v>
      </c>
      <c r="E431" s="162" t="s">
        <v>466</v>
      </c>
      <c r="F431" s="158">
        <f t="shared" si="23"/>
        <v>43.52</v>
      </c>
      <c r="G431" s="74">
        <v>50.11</v>
      </c>
      <c r="H431" s="74"/>
      <c r="I431" s="74"/>
      <c r="J431" s="530"/>
    </row>
    <row r="432" spans="1:10" x14ac:dyDescent="0.25">
      <c r="A432" s="13"/>
      <c r="B432" s="40"/>
      <c r="C432" s="74"/>
      <c r="D432" s="140">
        <f t="shared" si="22"/>
        <v>7</v>
      </c>
      <c r="E432" s="162" t="s">
        <v>467</v>
      </c>
      <c r="F432" s="158">
        <f t="shared" si="23"/>
        <v>50.11</v>
      </c>
      <c r="G432" s="74">
        <v>55.58</v>
      </c>
      <c r="H432" s="272" t="s">
        <v>839</v>
      </c>
      <c r="I432" s="74"/>
      <c r="J432" s="530"/>
    </row>
    <row r="433" spans="1:10" x14ac:dyDescent="0.25">
      <c r="A433" s="403"/>
      <c r="B433" s="404"/>
      <c r="C433" s="401"/>
      <c r="D433" s="405"/>
      <c r="E433" s="405"/>
      <c r="F433" s="405"/>
      <c r="G433" s="401"/>
      <c r="H433" s="401"/>
      <c r="I433" s="401"/>
      <c r="J433" s="530"/>
    </row>
    <row r="434" spans="1:10" x14ac:dyDescent="0.25">
      <c r="A434" s="13">
        <v>71</v>
      </c>
      <c r="B434" s="41">
        <v>44092</v>
      </c>
      <c r="C434" s="74">
        <v>57.27</v>
      </c>
      <c r="D434" s="140">
        <v>1</v>
      </c>
      <c r="E434" s="163" t="s">
        <v>469</v>
      </c>
      <c r="F434" s="163">
        <v>5.53</v>
      </c>
      <c r="G434" s="74">
        <v>10.23</v>
      </c>
      <c r="H434" s="74"/>
      <c r="I434" s="74" t="s">
        <v>468</v>
      </c>
      <c r="J434" s="533" t="s">
        <v>468</v>
      </c>
    </row>
    <row r="435" spans="1:10" x14ac:dyDescent="0.25">
      <c r="A435" s="13"/>
      <c r="B435" s="40"/>
      <c r="C435" s="74"/>
      <c r="D435" s="140">
        <f t="shared" ref="D435:D438" si="24">+D434+1</f>
        <v>2</v>
      </c>
      <c r="E435" s="163" t="s">
        <v>470</v>
      </c>
      <c r="F435" s="158">
        <f>+G434</f>
        <v>10.23</v>
      </c>
      <c r="G435" s="74">
        <v>18.54</v>
      </c>
      <c r="H435" s="74"/>
      <c r="I435" s="74"/>
      <c r="J435" s="530"/>
    </row>
    <row r="436" spans="1:10" x14ac:dyDescent="0.25">
      <c r="A436" s="13"/>
      <c r="B436" s="40"/>
      <c r="C436" s="74"/>
      <c r="D436" s="140">
        <f t="shared" si="24"/>
        <v>3</v>
      </c>
      <c r="E436" s="163" t="s">
        <v>471</v>
      </c>
      <c r="F436" s="158">
        <f>+G435</f>
        <v>18.54</v>
      </c>
      <c r="G436" s="74">
        <v>31.34</v>
      </c>
      <c r="H436" s="74"/>
      <c r="I436" s="74"/>
      <c r="J436" s="530"/>
    </row>
    <row r="437" spans="1:10" x14ac:dyDescent="0.25">
      <c r="A437" s="13"/>
      <c r="B437" s="40"/>
      <c r="C437" s="74"/>
      <c r="D437" s="140">
        <f t="shared" si="24"/>
        <v>4</v>
      </c>
      <c r="E437" s="163" t="s">
        <v>472</v>
      </c>
      <c r="F437" s="156">
        <f>+G436</f>
        <v>31.34</v>
      </c>
      <c r="G437" s="74">
        <v>49.42</v>
      </c>
      <c r="H437" s="74"/>
      <c r="I437" s="74"/>
      <c r="J437" s="530"/>
    </row>
    <row r="438" spans="1:10" x14ac:dyDescent="0.25">
      <c r="A438" s="13"/>
      <c r="B438" s="40"/>
      <c r="C438" s="74"/>
      <c r="D438" s="140">
        <f t="shared" si="24"/>
        <v>5</v>
      </c>
      <c r="E438" s="164" t="s">
        <v>473</v>
      </c>
      <c r="F438" s="156">
        <f>+G437</f>
        <v>49.42</v>
      </c>
      <c r="G438" s="74">
        <v>56.29</v>
      </c>
      <c r="H438" s="273" t="s">
        <v>474</v>
      </c>
      <c r="I438" s="293" t="s">
        <v>839</v>
      </c>
      <c r="J438" s="533" t="s">
        <v>839</v>
      </c>
    </row>
    <row r="439" spans="1:10" x14ac:dyDescent="0.25">
      <c r="A439" s="403"/>
      <c r="B439" s="404"/>
      <c r="C439" s="401"/>
      <c r="D439" s="405"/>
      <c r="E439" s="405"/>
      <c r="F439" s="405"/>
      <c r="G439" s="401"/>
      <c r="H439" s="401"/>
      <c r="I439" s="401"/>
      <c r="J439" s="530"/>
    </row>
    <row r="440" spans="1:10" x14ac:dyDescent="0.25">
      <c r="A440" s="13">
        <v>72</v>
      </c>
      <c r="B440" s="41">
        <v>44093</v>
      </c>
      <c r="C440" s="74">
        <v>38.22</v>
      </c>
      <c r="D440" s="140">
        <v>1</v>
      </c>
      <c r="E440" s="164" t="s">
        <v>475</v>
      </c>
      <c r="F440" s="156">
        <v>3.26</v>
      </c>
      <c r="G440" s="74">
        <v>5.49</v>
      </c>
      <c r="H440" s="74"/>
      <c r="I440" s="74" t="s">
        <v>477</v>
      </c>
      <c r="J440" s="533" t="s">
        <v>477</v>
      </c>
    </row>
    <row r="441" spans="1:10" x14ac:dyDescent="0.25">
      <c r="A441" s="13"/>
      <c r="B441" s="40"/>
      <c r="C441" s="74"/>
      <c r="D441" s="140">
        <f t="shared" ref="D441:D442" si="25">+D440+1</f>
        <v>2</v>
      </c>
      <c r="E441" s="164" t="s">
        <v>476</v>
      </c>
      <c r="F441" s="156">
        <f>+G440</f>
        <v>5.49</v>
      </c>
      <c r="G441" s="74">
        <v>29.14</v>
      </c>
      <c r="H441" s="74"/>
      <c r="I441" s="74"/>
      <c r="J441" s="530"/>
    </row>
    <row r="442" spans="1:10" x14ac:dyDescent="0.25">
      <c r="A442" s="13"/>
      <c r="B442" s="40"/>
      <c r="C442" s="74"/>
      <c r="D442" s="140">
        <f t="shared" si="25"/>
        <v>3</v>
      </c>
      <c r="E442" s="165" t="s">
        <v>478</v>
      </c>
      <c r="F442" s="156">
        <f>+G441</f>
        <v>29.14</v>
      </c>
      <c r="G442" s="74">
        <v>37.42</v>
      </c>
      <c r="H442" s="274" t="s">
        <v>839</v>
      </c>
      <c r="I442" s="74"/>
      <c r="J442" s="530"/>
    </row>
    <row r="443" spans="1:10" x14ac:dyDescent="0.25">
      <c r="A443" s="403"/>
      <c r="B443" s="404"/>
      <c r="C443" s="401"/>
      <c r="D443" s="372"/>
      <c r="E443" s="405"/>
      <c r="F443" s="405"/>
      <c r="G443" s="401"/>
      <c r="H443" s="401"/>
      <c r="I443" s="401"/>
      <c r="J443" s="530"/>
    </row>
    <row r="444" spans="1:10" x14ac:dyDescent="0.25">
      <c r="A444" s="13">
        <v>73</v>
      </c>
      <c r="B444" s="41">
        <v>44094</v>
      </c>
      <c r="C444" s="74">
        <v>59.55</v>
      </c>
      <c r="D444" s="140">
        <v>1</v>
      </c>
      <c r="E444" s="166" t="s">
        <v>480</v>
      </c>
      <c r="F444" s="156">
        <v>5.12</v>
      </c>
      <c r="G444" s="74">
        <v>17.32</v>
      </c>
      <c r="H444" s="74"/>
      <c r="I444" s="74" t="s">
        <v>479</v>
      </c>
      <c r="J444" s="533" t="s">
        <v>479</v>
      </c>
    </row>
    <row r="445" spans="1:10" x14ac:dyDescent="0.25">
      <c r="A445" s="13"/>
      <c r="B445" s="40"/>
      <c r="C445" s="74"/>
      <c r="D445" s="140">
        <f t="shared" ref="D445:D455" si="26">+D444+1</f>
        <v>2</v>
      </c>
      <c r="E445" s="166" t="s">
        <v>481</v>
      </c>
      <c r="F445" s="156">
        <f>+G444</f>
        <v>17.32</v>
      </c>
      <c r="G445" s="75">
        <v>32.200000000000003</v>
      </c>
      <c r="H445" s="74"/>
      <c r="I445" s="74"/>
      <c r="J445" s="530"/>
    </row>
    <row r="446" spans="1:10" x14ac:dyDescent="0.25">
      <c r="A446" s="403"/>
      <c r="B446" s="404"/>
      <c r="C446" s="401"/>
      <c r="D446" s="372">
        <f t="shared" si="26"/>
        <v>3</v>
      </c>
      <c r="E446" s="421" t="s">
        <v>482</v>
      </c>
      <c r="F446" s="411">
        <f>+G445</f>
        <v>32.200000000000003</v>
      </c>
      <c r="G446" s="401">
        <v>59.12</v>
      </c>
      <c r="H446" s="422" t="s">
        <v>839</v>
      </c>
      <c r="I446" s="401"/>
      <c r="J446" s="530"/>
    </row>
    <row r="447" spans="1:10" x14ac:dyDescent="0.25">
      <c r="A447" s="13"/>
      <c r="B447" s="40"/>
      <c r="C447" s="74"/>
      <c r="D447" s="140"/>
      <c r="E447" s="156"/>
      <c r="F447" s="156"/>
      <c r="G447" s="74"/>
      <c r="H447" s="74"/>
      <c r="I447" s="74"/>
      <c r="J447" s="530"/>
    </row>
    <row r="448" spans="1:10" x14ac:dyDescent="0.25">
      <c r="A448" s="13">
        <v>74</v>
      </c>
      <c r="B448" s="41">
        <v>44095</v>
      </c>
      <c r="C448" s="74">
        <v>58.32</v>
      </c>
      <c r="D448" s="140">
        <v>1</v>
      </c>
      <c r="E448" s="167" t="s">
        <v>484</v>
      </c>
      <c r="F448" s="156">
        <v>5.18</v>
      </c>
      <c r="G448" s="74">
        <v>10.54</v>
      </c>
      <c r="H448" s="74"/>
      <c r="I448" s="74" t="s">
        <v>483</v>
      </c>
      <c r="J448" s="533" t="s">
        <v>483</v>
      </c>
    </row>
    <row r="449" spans="1:10" x14ac:dyDescent="0.25">
      <c r="A449" s="13"/>
      <c r="B449" s="40"/>
      <c r="C449" s="74"/>
      <c r="D449" s="140">
        <f t="shared" si="26"/>
        <v>2</v>
      </c>
      <c r="E449" s="167" t="s">
        <v>485</v>
      </c>
      <c r="F449" s="156">
        <f>+G448</f>
        <v>10.54</v>
      </c>
      <c r="G449" s="75">
        <v>19.3</v>
      </c>
      <c r="H449" s="74"/>
      <c r="I449" s="74"/>
      <c r="J449" s="530"/>
    </row>
    <row r="450" spans="1:10" x14ac:dyDescent="0.25">
      <c r="A450" s="13"/>
      <c r="B450" s="40"/>
      <c r="C450" s="74"/>
      <c r="D450" s="140">
        <f t="shared" si="26"/>
        <v>3</v>
      </c>
      <c r="E450" s="167" t="s">
        <v>486</v>
      </c>
      <c r="F450" s="158">
        <f t="shared" ref="F450:F453" si="27">+G449</f>
        <v>19.3</v>
      </c>
      <c r="G450" s="75">
        <v>24.1</v>
      </c>
      <c r="H450" s="74"/>
      <c r="I450" s="74"/>
      <c r="J450" s="530"/>
    </row>
    <row r="451" spans="1:10" x14ac:dyDescent="0.25">
      <c r="A451" s="13"/>
      <c r="B451" s="40"/>
      <c r="C451" s="74"/>
      <c r="D451" s="140">
        <f t="shared" si="26"/>
        <v>4</v>
      </c>
      <c r="E451" s="167" t="s">
        <v>487</v>
      </c>
      <c r="F451" s="158">
        <f t="shared" si="27"/>
        <v>24.1</v>
      </c>
      <c r="G451" s="74">
        <v>28.01</v>
      </c>
      <c r="H451" s="74"/>
      <c r="I451" s="74"/>
      <c r="J451" s="530"/>
    </row>
    <row r="452" spans="1:10" x14ac:dyDescent="0.25">
      <c r="A452" s="13"/>
      <c r="B452" s="40"/>
      <c r="C452" s="74"/>
      <c r="D452" s="140">
        <f t="shared" si="26"/>
        <v>5</v>
      </c>
      <c r="E452" s="167" t="s">
        <v>488</v>
      </c>
      <c r="F452" s="158">
        <f t="shared" si="27"/>
        <v>28.01</v>
      </c>
      <c r="G452" s="75">
        <v>34.299999999999997</v>
      </c>
      <c r="H452" s="74"/>
      <c r="I452" s="74"/>
      <c r="J452" s="530"/>
    </row>
    <row r="453" spans="1:10" x14ac:dyDescent="0.25">
      <c r="A453" s="13"/>
      <c r="B453" s="40"/>
      <c r="C453" s="74"/>
      <c r="D453" s="140">
        <f t="shared" si="26"/>
        <v>6</v>
      </c>
      <c r="E453" s="167" t="s">
        <v>489</v>
      </c>
      <c r="F453" s="158">
        <f t="shared" si="27"/>
        <v>34.299999999999997</v>
      </c>
      <c r="G453" s="75">
        <v>43.16</v>
      </c>
      <c r="H453" s="74"/>
      <c r="I453" s="74"/>
      <c r="J453" s="530"/>
    </row>
    <row r="454" spans="1:10" x14ac:dyDescent="0.25">
      <c r="A454" s="13"/>
      <c r="B454" s="40"/>
      <c r="C454" s="74"/>
      <c r="D454" s="140">
        <f t="shared" si="26"/>
        <v>7</v>
      </c>
      <c r="E454" s="167" t="s">
        <v>490</v>
      </c>
      <c r="F454" s="158">
        <f>+G453</f>
        <v>43.16</v>
      </c>
      <c r="G454" s="74">
        <v>54.16</v>
      </c>
      <c r="H454" s="74"/>
      <c r="I454" s="74"/>
      <c r="J454" s="530"/>
    </row>
    <row r="455" spans="1:10" x14ac:dyDescent="0.25">
      <c r="A455" s="13"/>
      <c r="B455" s="40"/>
      <c r="C455" s="74"/>
      <c r="D455" s="140">
        <f t="shared" si="26"/>
        <v>8</v>
      </c>
      <c r="E455" s="167" t="s">
        <v>491</v>
      </c>
      <c r="F455" s="156">
        <f>+G454</f>
        <v>54.16</v>
      </c>
      <c r="G455" s="74">
        <v>57.33</v>
      </c>
      <c r="H455" s="275" t="s">
        <v>491</v>
      </c>
      <c r="I455" s="274" t="s">
        <v>839</v>
      </c>
      <c r="J455" s="533" t="s">
        <v>839</v>
      </c>
    </row>
    <row r="456" spans="1:10" x14ac:dyDescent="0.25">
      <c r="A456" s="403"/>
      <c r="B456" s="404"/>
      <c r="C456" s="401"/>
      <c r="D456" s="405"/>
      <c r="E456" s="405"/>
      <c r="F456" s="405"/>
      <c r="G456" s="401"/>
      <c r="H456" s="401"/>
      <c r="I456" s="401"/>
      <c r="J456" s="530"/>
    </row>
    <row r="457" spans="1:10" x14ac:dyDescent="0.25">
      <c r="A457" s="13">
        <v>75</v>
      </c>
      <c r="B457" s="41">
        <v>44096</v>
      </c>
      <c r="C457" s="76">
        <v>54.01</v>
      </c>
      <c r="D457" s="140">
        <v>1</v>
      </c>
      <c r="E457" s="167" t="s">
        <v>492</v>
      </c>
      <c r="F457" s="156">
        <v>5.08</v>
      </c>
      <c r="G457" s="74">
        <v>20.53</v>
      </c>
      <c r="H457" s="76" t="s">
        <v>137</v>
      </c>
      <c r="I457" s="74" t="s">
        <v>497</v>
      </c>
      <c r="J457" s="533" t="s">
        <v>497</v>
      </c>
    </row>
    <row r="458" spans="1:10" x14ac:dyDescent="0.25">
      <c r="A458" s="13"/>
      <c r="B458" s="40"/>
      <c r="C458" s="74"/>
      <c r="D458" s="140">
        <f t="shared" ref="D458:D469" si="28">+D457+1</f>
        <v>2</v>
      </c>
      <c r="E458" s="167" t="s">
        <v>493</v>
      </c>
      <c r="F458" s="158">
        <v>24.13</v>
      </c>
      <c r="G458" s="74">
        <v>37.590000000000003</v>
      </c>
      <c r="H458" s="74"/>
      <c r="I458" s="74"/>
      <c r="J458" s="530"/>
    </row>
    <row r="459" spans="1:10" x14ac:dyDescent="0.25">
      <c r="A459" s="13"/>
      <c r="B459" s="40"/>
      <c r="C459" s="74"/>
      <c r="D459" s="140">
        <f t="shared" si="28"/>
        <v>3</v>
      </c>
      <c r="E459" s="167" t="s">
        <v>494</v>
      </c>
      <c r="F459" s="158">
        <f t="shared" ref="F459:F460" si="29">+G458</f>
        <v>37.590000000000003</v>
      </c>
      <c r="G459" s="74">
        <v>44.26</v>
      </c>
      <c r="H459" s="74"/>
      <c r="I459" s="74"/>
      <c r="J459" s="530"/>
    </row>
    <row r="460" spans="1:10" x14ac:dyDescent="0.25">
      <c r="A460" s="403"/>
      <c r="B460" s="404"/>
      <c r="C460" s="401"/>
      <c r="D460" s="372">
        <f t="shared" si="28"/>
        <v>4</v>
      </c>
      <c r="E460" s="423" t="s">
        <v>495</v>
      </c>
      <c r="F460" s="411">
        <f t="shared" si="29"/>
        <v>44.26</v>
      </c>
      <c r="G460" s="401">
        <v>52.35</v>
      </c>
      <c r="H460" s="401"/>
      <c r="I460" s="401"/>
      <c r="J460" s="530"/>
    </row>
    <row r="461" spans="1:10" x14ac:dyDescent="0.25">
      <c r="A461" s="13"/>
      <c r="B461" s="40"/>
      <c r="C461" s="74"/>
      <c r="D461" s="140"/>
      <c r="E461" s="167"/>
      <c r="F461" s="158"/>
      <c r="G461" s="74"/>
      <c r="H461" s="74"/>
      <c r="I461" s="74"/>
      <c r="J461" s="530"/>
    </row>
    <row r="462" spans="1:10" x14ac:dyDescent="0.25">
      <c r="A462" s="13">
        <v>76</v>
      </c>
      <c r="B462" s="41">
        <v>44097</v>
      </c>
      <c r="C462" s="74">
        <v>58.18</v>
      </c>
      <c r="D462" s="140">
        <v>1</v>
      </c>
      <c r="E462" s="168" t="s">
        <v>496</v>
      </c>
      <c r="F462" s="156">
        <v>2.34</v>
      </c>
      <c r="G462" s="74">
        <v>8.57</v>
      </c>
      <c r="H462" s="74"/>
      <c r="I462" s="74" t="s">
        <v>505</v>
      </c>
      <c r="J462" s="533" t="s">
        <v>505</v>
      </c>
    </row>
    <row r="463" spans="1:10" x14ac:dyDescent="0.25">
      <c r="A463" s="13"/>
      <c r="B463" s="40"/>
      <c r="C463" s="74"/>
      <c r="D463" s="140">
        <f t="shared" si="28"/>
        <v>2</v>
      </c>
      <c r="E463" s="168" t="s">
        <v>498</v>
      </c>
      <c r="F463" s="158">
        <f>+G462</f>
        <v>8.57</v>
      </c>
      <c r="G463" s="74">
        <v>13.01</v>
      </c>
      <c r="H463" s="74"/>
      <c r="I463" s="74"/>
      <c r="J463" s="530"/>
    </row>
    <row r="464" spans="1:10" x14ac:dyDescent="0.25">
      <c r="A464" s="13"/>
      <c r="B464" s="40"/>
      <c r="C464" s="74"/>
      <c r="D464" s="140">
        <f t="shared" si="28"/>
        <v>3</v>
      </c>
      <c r="E464" s="168" t="s">
        <v>499</v>
      </c>
      <c r="F464" s="158">
        <f t="shared" ref="F464:F470" si="30">+G463</f>
        <v>13.01</v>
      </c>
      <c r="G464" s="74">
        <v>17.09</v>
      </c>
      <c r="H464" s="74"/>
      <c r="I464" s="74"/>
      <c r="J464" s="530"/>
    </row>
    <row r="465" spans="1:10" x14ac:dyDescent="0.25">
      <c r="A465" s="13"/>
      <c r="B465" s="40"/>
      <c r="C465" s="74"/>
      <c r="D465" s="140">
        <f t="shared" si="28"/>
        <v>4</v>
      </c>
      <c r="E465" s="168" t="s">
        <v>500</v>
      </c>
      <c r="F465" s="158">
        <f t="shared" si="30"/>
        <v>17.09</v>
      </c>
      <c r="G465" s="74">
        <v>21.34</v>
      </c>
      <c r="H465" s="74"/>
      <c r="I465" s="74"/>
      <c r="J465" s="530"/>
    </row>
    <row r="466" spans="1:10" x14ac:dyDescent="0.25">
      <c r="A466" s="13"/>
      <c r="B466" s="40"/>
      <c r="C466" s="74"/>
      <c r="D466" s="140">
        <f t="shared" si="28"/>
        <v>5</v>
      </c>
      <c r="E466" s="168" t="s">
        <v>501</v>
      </c>
      <c r="F466" s="158">
        <f t="shared" si="30"/>
        <v>21.34</v>
      </c>
      <c r="G466" s="74">
        <v>26.23</v>
      </c>
      <c r="H466" s="74"/>
      <c r="I466" s="74"/>
      <c r="J466" s="530"/>
    </row>
    <row r="467" spans="1:10" x14ac:dyDescent="0.25">
      <c r="A467" s="13"/>
      <c r="B467" s="40"/>
      <c r="C467" s="74"/>
      <c r="D467" s="140">
        <f t="shared" si="28"/>
        <v>6</v>
      </c>
      <c r="E467" s="168" t="s">
        <v>502</v>
      </c>
      <c r="F467" s="158">
        <f t="shared" si="30"/>
        <v>26.23</v>
      </c>
      <c r="G467" s="74">
        <v>31.42</v>
      </c>
      <c r="H467" s="74"/>
      <c r="I467" s="74"/>
      <c r="J467" s="530"/>
    </row>
    <row r="468" spans="1:10" x14ac:dyDescent="0.25">
      <c r="A468" s="13"/>
      <c r="B468" s="40"/>
      <c r="C468" s="74"/>
      <c r="D468" s="140">
        <f t="shared" si="28"/>
        <v>7</v>
      </c>
      <c r="E468" s="168" t="s">
        <v>503</v>
      </c>
      <c r="F468" s="158">
        <f t="shared" si="30"/>
        <v>31.42</v>
      </c>
      <c r="G468" s="74">
        <v>43.02</v>
      </c>
      <c r="H468" s="74"/>
      <c r="I468" s="74"/>
      <c r="J468" s="530"/>
    </row>
    <row r="469" spans="1:10" x14ac:dyDescent="0.25">
      <c r="A469" s="13"/>
      <c r="B469" s="40"/>
      <c r="C469" s="74"/>
      <c r="D469" s="140">
        <f t="shared" si="28"/>
        <v>8</v>
      </c>
      <c r="E469" s="169" t="s">
        <v>504</v>
      </c>
      <c r="F469" s="158">
        <f t="shared" si="30"/>
        <v>43.02</v>
      </c>
      <c r="G469" s="74">
        <v>49.48</v>
      </c>
      <c r="H469" s="74"/>
      <c r="I469" s="74"/>
      <c r="J469" s="530"/>
    </row>
    <row r="470" spans="1:10" x14ac:dyDescent="0.25">
      <c r="A470" s="403"/>
      <c r="B470" s="404"/>
      <c r="C470" s="401"/>
      <c r="D470" s="372">
        <v>9</v>
      </c>
      <c r="E470" s="424" t="s">
        <v>506</v>
      </c>
      <c r="F470" s="411">
        <f t="shared" si="30"/>
        <v>49.48</v>
      </c>
      <c r="G470" s="401">
        <v>56.58</v>
      </c>
      <c r="H470" s="425" t="s">
        <v>507</v>
      </c>
      <c r="I470" s="426" t="s">
        <v>839</v>
      </c>
      <c r="J470" s="533" t="s">
        <v>839</v>
      </c>
    </row>
    <row r="471" spans="1:10" x14ac:dyDescent="0.25">
      <c r="A471" s="13"/>
      <c r="B471" s="40"/>
      <c r="C471" s="74"/>
      <c r="D471" s="156"/>
      <c r="E471" s="156"/>
      <c r="F471" s="156"/>
      <c r="G471" s="74"/>
      <c r="H471" s="74"/>
      <c r="I471" s="74"/>
      <c r="J471" s="530"/>
    </row>
    <row r="472" spans="1:10" x14ac:dyDescent="0.25">
      <c r="A472" s="13">
        <v>77</v>
      </c>
      <c r="B472" s="41">
        <v>44098</v>
      </c>
      <c r="C472" s="74">
        <v>54.52</v>
      </c>
      <c r="D472" s="140">
        <v>1</v>
      </c>
      <c r="E472" s="170" t="s">
        <v>507</v>
      </c>
      <c r="F472" s="156">
        <v>6.16</v>
      </c>
      <c r="G472" s="74">
        <v>13.21</v>
      </c>
      <c r="H472" s="74"/>
      <c r="I472" s="74" t="s">
        <v>508</v>
      </c>
      <c r="J472" s="533" t="s">
        <v>508</v>
      </c>
    </row>
    <row r="473" spans="1:10" x14ac:dyDescent="0.25">
      <c r="A473" s="13"/>
      <c r="B473" s="40"/>
      <c r="C473" s="74"/>
      <c r="D473" s="140">
        <f t="shared" ref="D473:D479" si="31">+D472+1</f>
        <v>2</v>
      </c>
      <c r="E473" s="170" t="s">
        <v>509</v>
      </c>
      <c r="F473" s="158">
        <f t="shared" ref="F473:F479" si="32">+G472</f>
        <v>13.21</v>
      </c>
      <c r="G473" s="74">
        <v>33.479999999999997</v>
      </c>
      <c r="H473" s="74"/>
      <c r="I473" s="74"/>
      <c r="J473" s="530"/>
    </row>
    <row r="474" spans="1:10" x14ac:dyDescent="0.25">
      <c r="A474" s="13"/>
      <c r="B474" s="40"/>
      <c r="C474" s="74"/>
      <c r="D474" s="140">
        <f t="shared" si="31"/>
        <v>3</v>
      </c>
      <c r="E474" s="170" t="s">
        <v>510</v>
      </c>
      <c r="F474" s="158">
        <f t="shared" si="32"/>
        <v>33.479999999999997</v>
      </c>
      <c r="G474" s="74">
        <v>50.13</v>
      </c>
      <c r="H474" s="74"/>
      <c r="I474" s="74"/>
      <c r="J474" s="530"/>
    </row>
    <row r="475" spans="1:10" x14ac:dyDescent="0.25">
      <c r="A475" s="403"/>
      <c r="B475" s="404"/>
      <c r="C475" s="401"/>
      <c r="D475" s="372">
        <f t="shared" si="31"/>
        <v>4</v>
      </c>
      <c r="E475" s="427" t="s">
        <v>511</v>
      </c>
      <c r="F475" s="411">
        <f t="shared" si="32"/>
        <v>50.13</v>
      </c>
      <c r="G475" s="401">
        <v>54.17</v>
      </c>
      <c r="H475" s="425" t="s">
        <v>511</v>
      </c>
      <c r="I475" s="426" t="s">
        <v>839</v>
      </c>
      <c r="J475" s="533" t="s">
        <v>839</v>
      </c>
    </row>
    <row r="476" spans="1:10" x14ac:dyDescent="0.25">
      <c r="A476" s="13"/>
      <c r="B476" s="40"/>
      <c r="C476" s="74"/>
      <c r="D476" s="140"/>
      <c r="E476" s="170"/>
      <c r="F476" s="158"/>
      <c r="G476" s="74"/>
      <c r="H476" s="74"/>
      <c r="I476" s="74"/>
      <c r="J476" s="530"/>
    </row>
    <row r="477" spans="1:10" x14ac:dyDescent="0.25">
      <c r="A477" s="13">
        <v>78</v>
      </c>
      <c r="B477" s="41">
        <v>44099</v>
      </c>
      <c r="C477" s="74">
        <v>53.18</v>
      </c>
      <c r="D477" s="140">
        <v>1</v>
      </c>
      <c r="E477" s="170" t="s">
        <v>513</v>
      </c>
      <c r="F477" s="156">
        <v>5.41</v>
      </c>
      <c r="G477" s="74">
        <v>17.53</v>
      </c>
      <c r="H477" s="74"/>
      <c r="I477" s="74" t="s">
        <v>514</v>
      </c>
      <c r="J477" s="533" t="s">
        <v>514</v>
      </c>
    </row>
    <row r="478" spans="1:10" x14ac:dyDescent="0.25">
      <c r="A478" s="13"/>
      <c r="B478" s="40"/>
      <c r="C478" s="74"/>
      <c r="D478" s="140">
        <f t="shared" si="31"/>
        <v>2</v>
      </c>
      <c r="E478" s="170" t="s">
        <v>512</v>
      </c>
      <c r="F478" s="158">
        <f t="shared" si="32"/>
        <v>17.53</v>
      </c>
      <c r="G478" s="74">
        <v>36.119999999999997</v>
      </c>
      <c r="H478" s="74"/>
      <c r="I478" s="74"/>
      <c r="J478" s="530"/>
    </row>
    <row r="479" spans="1:10" x14ac:dyDescent="0.25">
      <c r="A479" s="403"/>
      <c r="B479" s="404"/>
      <c r="C479" s="401"/>
      <c r="D479" s="372">
        <f t="shared" si="31"/>
        <v>3</v>
      </c>
      <c r="E479" s="428" t="s">
        <v>517</v>
      </c>
      <c r="F479" s="411">
        <f t="shared" si="32"/>
        <v>36.119999999999997</v>
      </c>
      <c r="G479" s="401">
        <v>52.32</v>
      </c>
      <c r="H479" s="429" t="s">
        <v>516</v>
      </c>
      <c r="I479" s="426" t="s">
        <v>839</v>
      </c>
      <c r="J479" s="533" t="s">
        <v>839</v>
      </c>
    </row>
    <row r="480" spans="1:10" x14ac:dyDescent="0.25">
      <c r="A480" s="13"/>
      <c r="B480" s="40"/>
      <c r="C480" s="74"/>
      <c r="D480" s="156"/>
      <c r="E480" s="156"/>
      <c r="F480" s="158"/>
      <c r="G480" s="74"/>
      <c r="H480" s="74"/>
      <c r="I480" s="74"/>
      <c r="J480" s="530"/>
    </row>
    <row r="481" spans="1:10" x14ac:dyDescent="0.25">
      <c r="A481" s="13">
        <v>79</v>
      </c>
      <c r="B481" s="41">
        <v>44100</v>
      </c>
      <c r="C481" s="74">
        <v>55.53</v>
      </c>
      <c r="D481" s="140">
        <v>1</v>
      </c>
      <c r="E481" s="171" t="s">
        <v>518</v>
      </c>
      <c r="F481" s="156">
        <v>4.25</v>
      </c>
      <c r="G481" s="74">
        <v>10.33</v>
      </c>
      <c r="H481" s="74"/>
      <c r="I481" s="74" t="s">
        <v>515</v>
      </c>
      <c r="J481" s="533" t="s">
        <v>515</v>
      </c>
    </row>
    <row r="482" spans="1:10" x14ac:dyDescent="0.25">
      <c r="A482" s="13"/>
      <c r="B482" s="40"/>
      <c r="C482" s="74"/>
      <c r="D482" s="140">
        <f t="shared" ref="D482:D484" si="33">+D481+1</f>
        <v>2</v>
      </c>
      <c r="E482" s="171" t="s">
        <v>519</v>
      </c>
      <c r="F482" s="158">
        <f t="shared" ref="F482:F484" si="34">+G481</f>
        <v>10.33</v>
      </c>
      <c r="G482" s="75">
        <v>25.5</v>
      </c>
      <c r="H482" s="74"/>
      <c r="I482" s="74"/>
      <c r="J482" s="530"/>
    </row>
    <row r="483" spans="1:10" x14ac:dyDescent="0.25">
      <c r="A483" s="13"/>
      <c r="B483" s="40"/>
      <c r="C483" s="74"/>
      <c r="D483" s="140">
        <f t="shared" si="33"/>
        <v>3</v>
      </c>
      <c r="E483" s="171" t="s">
        <v>520</v>
      </c>
      <c r="F483" s="158">
        <f t="shared" si="34"/>
        <v>25.5</v>
      </c>
      <c r="G483" s="74">
        <v>40.409999999999997</v>
      </c>
      <c r="H483" s="74"/>
      <c r="I483" s="74"/>
      <c r="J483" s="530"/>
    </row>
    <row r="484" spans="1:10" x14ac:dyDescent="0.25">
      <c r="A484" s="403"/>
      <c r="B484" s="404"/>
      <c r="C484" s="401"/>
      <c r="D484" s="372">
        <f t="shared" si="33"/>
        <v>4</v>
      </c>
      <c r="E484" s="428" t="s">
        <v>521</v>
      </c>
      <c r="F484" s="411">
        <f t="shared" si="34"/>
        <v>40.409999999999997</v>
      </c>
      <c r="G484" s="401">
        <v>55.15</v>
      </c>
      <c r="H484" s="401"/>
      <c r="I484" s="379" t="s">
        <v>839</v>
      </c>
      <c r="J484" s="533" t="s">
        <v>839</v>
      </c>
    </row>
    <row r="485" spans="1:10" x14ac:dyDescent="0.25">
      <c r="A485" s="13"/>
      <c r="B485" s="40"/>
      <c r="C485" s="74"/>
      <c r="D485" s="156"/>
      <c r="E485" s="156"/>
      <c r="F485" s="156"/>
      <c r="G485" s="74"/>
      <c r="H485" s="74"/>
      <c r="I485" s="74"/>
      <c r="J485" s="530"/>
    </row>
    <row r="486" spans="1:10" x14ac:dyDescent="0.25">
      <c r="A486" s="13">
        <v>80</v>
      </c>
      <c r="B486" s="41">
        <v>44101</v>
      </c>
      <c r="C486" s="74">
        <v>48.07</v>
      </c>
      <c r="D486" s="140">
        <v>1</v>
      </c>
      <c r="E486" s="172" t="s">
        <v>523</v>
      </c>
      <c r="F486" s="156">
        <v>2.04</v>
      </c>
      <c r="G486" s="74">
        <v>6.32</v>
      </c>
      <c r="H486" s="74"/>
      <c r="I486" s="74" t="s">
        <v>522</v>
      </c>
      <c r="J486" s="533" t="s">
        <v>522</v>
      </c>
    </row>
    <row r="487" spans="1:10" x14ac:dyDescent="0.25">
      <c r="A487" s="13"/>
      <c r="B487" s="40"/>
      <c r="C487" s="74"/>
      <c r="D487" s="140">
        <f t="shared" ref="D487:D497" si="35">+D486+1</f>
        <v>2</v>
      </c>
      <c r="E487" s="173" t="s">
        <v>525</v>
      </c>
      <c r="F487" s="156">
        <f>+G486</f>
        <v>6.32</v>
      </c>
      <c r="G487" s="74">
        <v>10.18</v>
      </c>
      <c r="H487" s="74"/>
      <c r="I487" s="74"/>
      <c r="J487" s="530"/>
    </row>
    <row r="488" spans="1:10" x14ac:dyDescent="0.25">
      <c r="A488" s="13"/>
      <c r="B488" s="40"/>
      <c r="C488" s="74"/>
      <c r="D488" s="140">
        <f t="shared" si="35"/>
        <v>3</v>
      </c>
      <c r="E488" s="173" t="s">
        <v>526</v>
      </c>
      <c r="F488" s="156">
        <f t="shared" ref="F488:F497" si="36">+G487</f>
        <v>10.18</v>
      </c>
      <c r="G488" s="74">
        <v>13.58</v>
      </c>
      <c r="H488" s="74"/>
      <c r="I488" s="74"/>
      <c r="J488" s="530"/>
    </row>
    <row r="489" spans="1:10" x14ac:dyDescent="0.25">
      <c r="A489" s="13"/>
      <c r="B489" s="40"/>
      <c r="C489" s="74"/>
      <c r="D489" s="140">
        <f t="shared" si="35"/>
        <v>4</v>
      </c>
      <c r="E489" s="173" t="s">
        <v>527</v>
      </c>
      <c r="F489" s="156">
        <f t="shared" si="36"/>
        <v>13.58</v>
      </c>
      <c r="G489" s="74">
        <v>17.57</v>
      </c>
      <c r="H489" s="74"/>
      <c r="I489" s="74"/>
      <c r="J489" s="530"/>
    </row>
    <row r="490" spans="1:10" x14ac:dyDescent="0.25">
      <c r="A490" s="13"/>
      <c r="B490" s="40"/>
      <c r="C490" s="74"/>
      <c r="D490" s="140">
        <f t="shared" si="35"/>
        <v>5</v>
      </c>
      <c r="E490" s="173" t="s">
        <v>528</v>
      </c>
      <c r="F490" s="156">
        <f t="shared" si="36"/>
        <v>17.57</v>
      </c>
      <c r="G490" s="74">
        <v>21.24</v>
      </c>
      <c r="H490" s="74"/>
      <c r="I490" s="74"/>
      <c r="J490" s="530"/>
    </row>
    <row r="491" spans="1:10" x14ac:dyDescent="0.25">
      <c r="A491" s="13"/>
      <c r="B491" s="40"/>
      <c r="C491" s="74"/>
      <c r="D491" s="140">
        <f t="shared" si="35"/>
        <v>6</v>
      </c>
      <c r="E491" s="173" t="s">
        <v>529</v>
      </c>
      <c r="F491" s="156">
        <f t="shared" si="36"/>
        <v>21.24</v>
      </c>
      <c r="G491" s="74">
        <v>25.02</v>
      </c>
      <c r="H491" s="74"/>
      <c r="I491" s="74"/>
      <c r="J491" s="530"/>
    </row>
    <row r="492" spans="1:10" x14ac:dyDescent="0.25">
      <c r="A492" s="13"/>
      <c r="B492" s="40"/>
      <c r="C492" s="74"/>
      <c r="D492" s="140">
        <f t="shared" si="35"/>
        <v>7</v>
      </c>
      <c r="E492" s="173" t="s">
        <v>530</v>
      </c>
      <c r="F492" s="156">
        <f t="shared" si="36"/>
        <v>25.02</v>
      </c>
      <c r="G492" s="74">
        <v>29.13</v>
      </c>
      <c r="H492" s="74"/>
      <c r="I492" s="74"/>
      <c r="J492" s="530"/>
    </row>
    <row r="493" spans="1:10" x14ac:dyDescent="0.25">
      <c r="A493" s="13"/>
      <c r="B493" s="40"/>
      <c r="C493" s="74"/>
      <c r="D493" s="140">
        <f t="shared" si="35"/>
        <v>8</v>
      </c>
      <c r="E493" s="173" t="s">
        <v>531</v>
      </c>
      <c r="F493" s="156">
        <f t="shared" si="36"/>
        <v>29.13</v>
      </c>
      <c r="G493" s="74">
        <v>32.090000000000003</v>
      </c>
      <c r="H493" s="74"/>
      <c r="I493" s="74"/>
      <c r="J493" s="530"/>
    </row>
    <row r="494" spans="1:10" x14ac:dyDescent="0.25">
      <c r="A494" s="13"/>
      <c r="B494" s="40"/>
      <c r="C494" s="74"/>
      <c r="D494" s="140">
        <f t="shared" si="35"/>
        <v>9</v>
      </c>
      <c r="E494" s="173" t="s">
        <v>532</v>
      </c>
      <c r="F494" s="156">
        <f t="shared" si="36"/>
        <v>32.090000000000003</v>
      </c>
      <c r="G494" s="74">
        <v>34.54</v>
      </c>
      <c r="H494" s="74"/>
      <c r="I494" s="74"/>
      <c r="J494" s="530"/>
    </row>
    <row r="495" spans="1:10" x14ac:dyDescent="0.25">
      <c r="A495" s="13"/>
      <c r="B495" s="40"/>
      <c r="C495" s="74"/>
      <c r="D495" s="140">
        <f t="shared" si="35"/>
        <v>10</v>
      </c>
      <c r="E495" s="173" t="s">
        <v>533</v>
      </c>
      <c r="F495" s="156">
        <f t="shared" si="36"/>
        <v>34.54</v>
      </c>
      <c r="G495" s="74">
        <v>39.22</v>
      </c>
      <c r="H495" s="74"/>
      <c r="I495" s="74"/>
      <c r="J495" s="530"/>
    </row>
    <row r="496" spans="1:10" x14ac:dyDescent="0.25">
      <c r="A496" s="13"/>
      <c r="B496" s="40"/>
      <c r="C496" s="74"/>
      <c r="D496" s="140">
        <f t="shared" si="35"/>
        <v>11</v>
      </c>
      <c r="E496" s="173" t="s">
        <v>534</v>
      </c>
      <c r="F496" s="156">
        <f t="shared" si="36"/>
        <v>39.22</v>
      </c>
      <c r="G496" s="74">
        <v>44.49</v>
      </c>
      <c r="H496" s="74"/>
      <c r="I496" s="74"/>
      <c r="J496" s="530"/>
    </row>
    <row r="497" spans="1:10" x14ac:dyDescent="0.25">
      <c r="A497" s="403"/>
      <c r="B497" s="404"/>
      <c r="C497" s="401"/>
      <c r="D497" s="372">
        <f t="shared" si="35"/>
        <v>12</v>
      </c>
      <c r="E497" s="430" t="s">
        <v>535</v>
      </c>
      <c r="F497" s="405">
        <f t="shared" si="36"/>
        <v>44.49</v>
      </c>
      <c r="G497" s="401">
        <v>47.25</v>
      </c>
      <c r="H497" s="401"/>
      <c r="I497" s="401"/>
      <c r="J497" s="530"/>
    </row>
    <row r="498" spans="1:10" x14ac:dyDescent="0.25">
      <c r="A498" s="13"/>
      <c r="B498" s="40"/>
      <c r="C498" s="74"/>
      <c r="D498" s="156"/>
      <c r="E498" s="156"/>
      <c r="F498" s="156"/>
      <c r="G498" s="74"/>
      <c r="H498" s="74"/>
      <c r="I498" s="74"/>
      <c r="J498" s="530"/>
    </row>
    <row r="499" spans="1:10" x14ac:dyDescent="0.25">
      <c r="A499" s="13">
        <v>81</v>
      </c>
      <c r="B499" s="41">
        <v>44102</v>
      </c>
      <c r="C499" s="74">
        <v>53.45</v>
      </c>
      <c r="D499" s="140">
        <v>1</v>
      </c>
      <c r="E499" s="173" t="s">
        <v>536</v>
      </c>
      <c r="F499" s="174">
        <v>5.5</v>
      </c>
      <c r="G499" s="74">
        <v>12.51</v>
      </c>
      <c r="H499" s="74"/>
      <c r="I499" s="74" t="s">
        <v>524</v>
      </c>
      <c r="J499" s="533" t="s">
        <v>524</v>
      </c>
    </row>
    <row r="500" spans="1:10" x14ac:dyDescent="0.25">
      <c r="A500" s="13"/>
      <c r="B500" s="40"/>
      <c r="C500" s="74"/>
      <c r="D500" s="140">
        <f t="shared" ref="D500:D502" si="37">+D499+1</f>
        <v>2</v>
      </c>
      <c r="E500" s="173" t="s">
        <v>537</v>
      </c>
      <c r="F500" s="156">
        <f>+G499</f>
        <v>12.51</v>
      </c>
      <c r="G500" s="74">
        <v>27.58</v>
      </c>
      <c r="H500" s="74"/>
      <c r="I500" s="74"/>
      <c r="J500" s="530"/>
    </row>
    <row r="501" spans="1:10" x14ac:dyDescent="0.25">
      <c r="A501" s="13"/>
      <c r="B501" s="40"/>
      <c r="C501" s="74"/>
      <c r="D501" s="140">
        <f t="shared" si="37"/>
        <v>3</v>
      </c>
      <c r="E501" s="173" t="s">
        <v>538</v>
      </c>
      <c r="F501" s="156">
        <f t="shared" ref="F501:F502" si="38">+G500</f>
        <v>27.58</v>
      </c>
      <c r="G501" s="75">
        <v>40.1</v>
      </c>
      <c r="H501" s="74"/>
      <c r="I501" s="74"/>
      <c r="J501" s="530"/>
    </row>
    <row r="502" spans="1:10" x14ac:dyDescent="0.25">
      <c r="A502" s="403"/>
      <c r="B502" s="404"/>
      <c r="C502" s="401"/>
      <c r="D502" s="372">
        <f t="shared" si="37"/>
        <v>4</v>
      </c>
      <c r="E502" s="430" t="s">
        <v>539</v>
      </c>
      <c r="F502" s="411">
        <f t="shared" si="38"/>
        <v>40.1</v>
      </c>
      <c r="G502" s="401">
        <v>53.08</v>
      </c>
      <c r="H502" s="431" t="s">
        <v>540</v>
      </c>
      <c r="I502" s="401"/>
      <c r="J502" s="530"/>
    </row>
    <row r="503" spans="1:10" x14ac:dyDescent="0.25">
      <c r="A503" s="414"/>
      <c r="B503" s="539"/>
      <c r="C503" s="416"/>
      <c r="D503" s="418"/>
      <c r="E503" s="418"/>
      <c r="F503" s="418"/>
      <c r="G503" s="416"/>
      <c r="H503" s="416"/>
      <c r="I503" s="74"/>
      <c r="J503" s="530"/>
    </row>
    <row r="504" spans="1:10" x14ac:dyDescent="0.25">
      <c r="A504" s="13">
        <v>82</v>
      </c>
      <c r="B504" s="41">
        <v>44103</v>
      </c>
      <c r="C504" s="74">
        <v>39.24</v>
      </c>
      <c r="D504" s="140">
        <v>1</v>
      </c>
      <c r="E504" s="173" t="s">
        <v>541</v>
      </c>
      <c r="F504" s="158">
        <v>1.2</v>
      </c>
      <c r="G504" s="74">
        <v>10.039999999999999</v>
      </c>
      <c r="H504" s="77" t="s">
        <v>137</v>
      </c>
      <c r="I504" s="74" t="s">
        <v>544</v>
      </c>
      <c r="J504" s="533" t="s">
        <v>544</v>
      </c>
    </row>
    <row r="505" spans="1:10" x14ac:dyDescent="0.25">
      <c r="A505" s="13"/>
      <c r="B505" s="41"/>
      <c r="C505" s="74"/>
      <c r="D505" s="140"/>
      <c r="E505" s="173"/>
      <c r="F505" s="158"/>
      <c r="G505" s="74"/>
      <c r="H505" s="77"/>
      <c r="I505" s="74"/>
      <c r="J505" s="533"/>
    </row>
    <row r="506" spans="1:10" x14ac:dyDescent="0.25">
      <c r="A506" s="403"/>
      <c r="B506" s="545"/>
      <c r="C506" s="401"/>
      <c r="D506" s="372"/>
      <c r="E506" s="430"/>
      <c r="F506" s="411"/>
      <c r="G506" s="401"/>
      <c r="H506" s="434"/>
      <c r="I506" s="74"/>
      <c r="J506" s="533"/>
    </row>
    <row r="507" spans="1:10" x14ac:dyDescent="0.25">
      <c r="A507" s="13">
        <v>83</v>
      </c>
      <c r="B507" s="41">
        <v>44103</v>
      </c>
      <c r="C507" s="74"/>
      <c r="D507" s="140">
        <f>+D504+1</f>
        <v>2</v>
      </c>
      <c r="E507" s="175" t="s">
        <v>542</v>
      </c>
      <c r="F507" s="156">
        <v>10.43</v>
      </c>
      <c r="G507" s="74">
        <v>28.05</v>
      </c>
      <c r="H507" s="74"/>
      <c r="I507" s="74"/>
      <c r="J507" s="533" t="s">
        <v>544</v>
      </c>
    </row>
    <row r="508" spans="1:10" x14ac:dyDescent="0.25">
      <c r="A508" s="13"/>
      <c r="B508" s="40"/>
      <c r="C508" s="74"/>
      <c r="D508" s="140">
        <f t="shared" ref="D508" si="39">+D507+1</f>
        <v>3</v>
      </c>
      <c r="E508" s="175" t="s">
        <v>543</v>
      </c>
      <c r="F508" s="156">
        <f>+G507</f>
        <v>28.05</v>
      </c>
      <c r="G508" s="74">
        <v>38.35</v>
      </c>
      <c r="H508" s="77" t="s">
        <v>545</v>
      </c>
      <c r="I508" s="74"/>
    </row>
    <row r="509" spans="1:10" x14ac:dyDescent="0.25">
      <c r="A509" s="432"/>
      <c r="B509" s="433"/>
      <c r="C509" s="434"/>
      <c r="D509" s="372"/>
      <c r="E509" s="438"/>
      <c r="F509" s="438"/>
      <c r="G509" s="434"/>
      <c r="H509" s="434"/>
      <c r="I509" s="77"/>
    </row>
    <row r="510" spans="1:10" x14ac:dyDescent="0.25">
      <c r="A510" s="14">
        <v>84</v>
      </c>
      <c r="B510" s="43">
        <v>44104</v>
      </c>
      <c r="C510" s="78" t="s">
        <v>546</v>
      </c>
      <c r="D510" s="176">
        <v>1</v>
      </c>
      <c r="E510" s="177" t="s">
        <v>548</v>
      </c>
      <c r="F510" s="175">
        <v>4.5599999999999996</v>
      </c>
      <c r="G510" s="79">
        <v>15.3</v>
      </c>
      <c r="H510" s="77"/>
      <c r="I510" s="77" t="s">
        <v>547</v>
      </c>
      <c r="J510" s="540" t="str">
        <f>HYPERLINK("https://www.youtube.com/watch?v=En17R8e8FEM", "https://www.youtube.com/watch?v=En17R8e8FEM")</f>
        <v>https://www.youtube.com/watch?v=En17R8e8FEM</v>
      </c>
    </row>
    <row r="511" spans="1:10" x14ac:dyDescent="0.25">
      <c r="A511" s="9"/>
      <c r="B511" s="42"/>
      <c r="C511" s="77"/>
      <c r="D511" s="176">
        <f>+D510+1</f>
        <v>2</v>
      </c>
      <c r="E511" s="177" t="s">
        <v>549</v>
      </c>
      <c r="F511" s="158">
        <f>+G510</f>
        <v>15.3</v>
      </c>
      <c r="G511" s="77">
        <v>30.25</v>
      </c>
      <c r="H511" s="77"/>
      <c r="I511" s="77"/>
      <c r="J511" s="540"/>
    </row>
    <row r="512" spans="1:10" x14ac:dyDescent="0.25">
      <c r="A512" s="14"/>
      <c r="B512" s="42"/>
      <c r="C512" s="77"/>
      <c r="D512" s="176">
        <f>+D511+1</f>
        <v>3</v>
      </c>
      <c r="E512" s="177" t="s">
        <v>550</v>
      </c>
      <c r="F512" s="158">
        <f t="shared" ref="F512:F513" si="40">+G511</f>
        <v>30.25</v>
      </c>
      <c r="G512" s="77">
        <v>45.56</v>
      </c>
      <c r="H512" s="77"/>
      <c r="I512" s="77"/>
      <c r="J512" s="540"/>
    </row>
    <row r="513" spans="1:10" x14ac:dyDescent="0.25">
      <c r="A513" s="14"/>
      <c r="B513" s="42"/>
      <c r="C513" s="77"/>
      <c r="D513" s="176">
        <f>+D512+1</f>
        <v>4</v>
      </c>
      <c r="E513" s="177" t="s">
        <v>551</v>
      </c>
      <c r="F513" s="158">
        <f t="shared" si="40"/>
        <v>45.56</v>
      </c>
      <c r="G513" s="79">
        <v>59.4</v>
      </c>
      <c r="H513" s="276" t="s">
        <v>552</v>
      </c>
      <c r="I513" s="77"/>
      <c r="J513" s="540"/>
    </row>
    <row r="514" spans="1:10" x14ac:dyDescent="0.25">
      <c r="A514" s="440"/>
      <c r="B514" s="450"/>
      <c r="C514" s="446"/>
      <c r="D514" s="451"/>
      <c r="E514" s="451"/>
      <c r="F514" s="451"/>
      <c r="G514" s="446"/>
      <c r="H514" s="446"/>
      <c r="I514" s="446"/>
      <c r="J514" s="541" t="str">
        <f>HYPERLINK("https://www.youtube.com/watch?v=jFtIO5TY5Sw", "https://www.youtube.com/watch?v=jFtIO5TY5Sw")</f>
        <v>https://www.youtube.com/watch?v=jFtIO5TY5Sw</v>
      </c>
    </row>
    <row r="515" spans="1:10" x14ac:dyDescent="0.25">
      <c r="A515" s="14">
        <v>85</v>
      </c>
      <c r="B515" s="43">
        <v>44105</v>
      </c>
      <c r="C515" s="79">
        <v>32.1</v>
      </c>
      <c r="D515" s="176">
        <v>1</v>
      </c>
      <c r="E515" s="542" t="s">
        <v>553</v>
      </c>
      <c r="F515" s="175">
        <v>1.31</v>
      </c>
      <c r="G515" s="77">
        <v>15.02</v>
      </c>
      <c r="H515" s="77"/>
      <c r="I515" s="77" t="s">
        <v>554</v>
      </c>
      <c r="J515" s="543"/>
    </row>
    <row r="516" spans="1:10" x14ac:dyDescent="0.25">
      <c r="A516" s="14"/>
      <c r="B516" s="42"/>
      <c r="C516" s="77"/>
      <c r="D516" s="176">
        <f>+D515+1</f>
        <v>2</v>
      </c>
      <c r="E516" s="542" t="s">
        <v>555</v>
      </c>
      <c r="F516" s="175">
        <f>+G515</f>
        <v>15.02</v>
      </c>
      <c r="G516" s="77">
        <v>28.22</v>
      </c>
      <c r="H516" s="77"/>
      <c r="I516" s="77"/>
      <c r="J516" s="543"/>
    </row>
    <row r="517" spans="1:10" x14ac:dyDescent="0.25">
      <c r="A517" s="14"/>
      <c r="B517" s="42"/>
      <c r="C517" s="77"/>
      <c r="D517" s="176">
        <f>+D516+1</f>
        <v>3</v>
      </c>
      <c r="E517" s="542" t="s">
        <v>556</v>
      </c>
      <c r="F517" s="175">
        <f>+G516</f>
        <v>28.22</v>
      </c>
      <c r="G517" s="77">
        <v>31.36</v>
      </c>
      <c r="H517" s="276" t="s">
        <v>556</v>
      </c>
      <c r="I517" s="77"/>
      <c r="J517" s="543"/>
    </row>
    <row r="518" spans="1:10" x14ac:dyDescent="0.25">
      <c r="A518" s="432"/>
      <c r="B518" s="433"/>
      <c r="C518" s="434"/>
      <c r="D518" s="438"/>
      <c r="E518" s="438"/>
      <c r="F518" s="438"/>
      <c r="G518" s="434"/>
      <c r="H518" s="434"/>
      <c r="I518" s="434"/>
      <c r="J518" s="544"/>
    </row>
    <row r="519" spans="1:10" x14ac:dyDescent="0.25">
      <c r="A519" s="14">
        <v>86</v>
      </c>
      <c r="B519" s="43">
        <v>44106</v>
      </c>
      <c r="C519" s="79">
        <v>55.53</v>
      </c>
      <c r="D519" s="176">
        <v>1</v>
      </c>
      <c r="E519" s="178" t="s">
        <v>557</v>
      </c>
      <c r="F519" s="175">
        <v>1.05</v>
      </c>
      <c r="G519" s="77">
        <v>9.43</v>
      </c>
      <c r="H519" s="77"/>
      <c r="I519" s="77" t="s">
        <v>558</v>
      </c>
      <c r="J519" s="540" t="str">
        <f>HYPERLINK("https://www.youtube.com/watch?v=Au57cjXkglA", "https://www.youtube.com/watch?v=Au57cjXkglA")</f>
        <v>https://www.youtube.com/watch?v=Au57cjXkglA</v>
      </c>
    </row>
    <row r="520" spans="1:10" x14ac:dyDescent="0.25">
      <c r="A520" s="14"/>
      <c r="B520" s="42"/>
      <c r="C520" s="77"/>
      <c r="D520" s="176">
        <f>+D519+1</f>
        <v>2</v>
      </c>
      <c r="E520" s="179" t="s">
        <v>559</v>
      </c>
      <c r="F520" s="175">
        <f>+G519</f>
        <v>9.43</v>
      </c>
      <c r="G520" s="77">
        <v>30.35</v>
      </c>
      <c r="H520" s="77"/>
      <c r="I520" s="77"/>
      <c r="J520" s="540"/>
    </row>
    <row r="521" spans="1:10" x14ac:dyDescent="0.25">
      <c r="A521" s="14"/>
      <c r="B521" s="42"/>
      <c r="C521" s="77"/>
      <c r="D521" s="176">
        <f>+D520+1</f>
        <v>3</v>
      </c>
      <c r="E521" s="179" t="s">
        <v>560</v>
      </c>
      <c r="F521" s="175">
        <f>+G520</f>
        <v>30.35</v>
      </c>
      <c r="G521" s="77">
        <v>46.27</v>
      </c>
      <c r="H521" s="77"/>
      <c r="I521" s="77"/>
      <c r="J521" s="540"/>
    </row>
    <row r="522" spans="1:10" x14ac:dyDescent="0.25">
      <c r="A522" s="432"/>
      <c r="B522" s="433"/>
      <c r="C522" s="434"/>
      <c r="D522" s="435">
        <f>+D521+1</f>
        <v>4</v>
      </c>
      <c r="E522" s="437" t="s">
        <v>561</v>
      </c>
      <c r="F522" s="438">
        <f>+G521</f>
        <v>46.27</v>
      </c>
      <c r="G522" s="434">
        <v>55.17</v>
      </c>
      <c r="H522" s="439" t="s">
        <v>563</v>
      </c>
      <c r="I522" s="434"/>
      <c r="J522" s="540"/>
    </row>
    <row r="523" spans="1:10" x14ac:dyDescent="0.25">
      <c r="A523" s="14"/>
      <c r="B523" s="42"/>
      <c r="C523" s="77"/>
      <c r="D523" s="175"/>
      <c r="E523" s="175"/>
      <c r="F523" s="175"/>
      <c r="G523" s="77"/>
      <c r="H523" s="77"/>
      <c r="I523" s="77"/>
      <c r="J523" s="540" t="str">
        <f>HYPERLINK("https://www.youtube.com/watch?v=1Pon2uK7hqo", "https://www.youtube.com/watch?v=1Pon2uK7hqo")</f>
        <v>https://www.youtube.com/watch?v=1Pon2uK7hqo</v>
      </c>
    </row>
    <row r="524" spans="1:10" x14ac:dyDescent="0.25">
      <c r="A524" s="14">
        <v>87</v>
      </c>
      <c r="B524" s="43">
        <v>44107</v>
      </c>
      <c r="C524" s="79">
        <v>55.4</v>
      </c>
      <c r="D524" s="176">
        <v>1</v>
      </c>
      <c r="E524" s="180" t="s">
        <v>564</v>
      </c>
      <c r="F524" s="175">
        <v>1.45</v>
      </c>
      <c r="G524" s="77">
        <v>11.36</v>
      </c>
      <c r="H524" s="77"/>
      <c r="I524" s="77" t="s">
        <v>562</v>
      </c>
      <c r="J524" s="540"/>
    </row>
    <row r="525" spans="1:10" x14ac:dyDescent="0.25">
      <c r="A525" s="14"/>
      <c r="B525" s="42"/>
      <c r="C525" s="77"/>
      <c r="D525" s="176">
        <f>+D524+1</f>
        <v>2</v>
      </c>
      <c r="E525" s="180" t="s">
        <v>565</v>
      </c>
      <c r="F525" s="175">
        <f>+G524</f>
        <v>11.36</v>
      </c>
      <c r="G525" s="77">
        <v>25.53</v>
      </c>
      <c r="H525" s="277" t="s">
        <v>137</v>
      </c>
      <c r="I525" s="77"/>
      <c r="J525" s="540"/>
    </row>
    <row r="526" spans="1:10" x14ac:dyDescent="0.25">
      <c r="A526" s="14"/>
      <c r="B526" s="42"/>
      <c r="C526" s="77"/>
      <c r="D526" s="176">
        <f>+D525+1</f>
        <v>3</v>
      </c>
      <c r="E526" s="180" t="s">
        <v>566</v>
      </c>
      <c r="F526" s="175">
        <v>31.29</v>
      </c>
      <c r="G526" s="77">
        <v>54.14</v>
      </c>
      <c r="H526" s="77"/>
      <c r="I526" s="77"/>
      <c r="J526" s="540"/>
    </row>
    <row r="527" spans="1:10" x14ac:dyDescent="0.25">
      <c r="A527" s="432"/>
      <c r="B527" s="433"/>
      <c r="C527" s="434"/>
      <c r="D527" s="435"/>
      <c r="E527" s="438"/>
      <c r="F527" s="438"/>
      <c r="G527" s="434"/>
      <c r="H527" s="434"/>
      <c r="I527" s="434"/>
      <c r="J527" s="540"/>
    </row>
    <row r="528" spans="1:10" x14ac:dyDescent="0.25">
      <c r="A528" s="14">
        <v>88</v>
      </c>
      <c r="B528" s="43">
        <v>44108</v>
      </c>
      <c r="C528" s="77">
        <v>58.24</v>
      </c>
      <c r="D528" s="176">
        <v>1</v>
      </c>
      <c r="E528" s="181" t="s">
        <v>568</v>
      </c>
      <c r="F528" s="175">
        <v>9.35</v>
      </c>
      <c r="G528" s="77">
        <v>27.26</v>
      </c>
      <c r="H528" s="77"/>
      <c r="I528" s="77" t="s">
        <v>567</v>
      </c>
      <c r="J528" s="540" t="str">
        <f>HYPERLINK("https://www.youtube.com/watch?v=b4UIdTTT_Y0", "https://www.youtube.com/watch?v=b4UIdTTT_Y0")</f>
        <v>https://www.youtube.com/watch?v=b4UIdTTT_Y0</v>
      </c>
    </row>
    <row r="529" spans="1:10" x14ac:dyDescent="0.25">
      <c r="A529" s="14"/>
      <c r="B529" s="42"/>
      <c r="C529" s="77"/>
      <c r="D529" s="176">
        <f>+D528+1</f>
        <v>2</v>
      </c>
      <c r="E529" s="181" t="s">
        <v>569</v>
      </c>
      <c r="F529" s="175">
        <f>+G528</f>
        <v>27.26</v>
      </c>
      <c r="G529" s="77">
        <v>49.08</v>
      </c>
      <c r="H529" s="77"/>
      <c r="I529" s="77"/>
      <c r="J529" s="540"/>
    </row>
    <row r="530" spans="1:10" x14ac:dyDescent="0.25">
      <c r="A530" s="14"/>
      <c r="B530" s="42"/>
      <c r="C530" s="77"/>
      <c r="D530" s="176">
        <f>+D529+1</f>
        <v>3</v>
      </c>
      <c r="E530" s="181" t="s">
        <v>570</v>
      </c>
      <c r="F530" s="175">
        <f>+G529</f>
        <v>49.08</v>
      </c>
      <c r="G530" s="79">
        <v>57.5</v>
      </c>
      <c r="H530" s="278" t="s">
        <v>571</v>
      </c>
      <c r="I530" s="77"/>
      <c r="J530" s="540"/>
    </row>
    <row r="531" spans="1:10" x14ac:dyDescent="0.25">
      <c r="A531" s="432"/>
      <c r="B531" s="433"/>
      <c r="C531" s="434"/>
      <c r="D531" s="435"/>
      <c r="E531" s="438"/>
      <c r="F531" s="438"/>
      <c r="G531" s="434"/>
      <c r="H531" s="434"/>
      <c r="I531" s="434"/>
      <c r="J531" s="540"/>
    </row>
    <row r="532" spans="1:10" x14ac:dyDescent="0.25">
      <c r="A532" s="440">
        <v>89</v>
      </c>
      <c r="B532" s="441">
        <v>44109</v>
      </c>
      <c r="C532" s="442">
        <v>55.1</v>
      </c>
      <c r="D532" s="443">
        <v>1</v>
      </c>
      <c r="E532" s="444" t="s">
        <v>572</v>
      </c>
      <c r="F532" s="445">
        <v>5.3</v>
      </c>
      <c r="G532" s="446">
        <v>9.2899999999999991</v>
      </c>
      <c r="H532" s="446"/>
      <c r="I532" s="446" t="s">
        <v>581</v>
      </c>
      <c r="J532" s="540" t="str">
        <f>HYPERLINK("https://www.youtube.com/watch?v=1Dbz9_iNRjQ", "https://www.youtube.com/watch?v=1Dbz9_iNRjQ")</f>
        <v>https://www.youtube.com/watch?v=1Dbz9_iNRjQ</v>
      </c>
    </row>
    <row r="533" spans="1:10" x14ac:dyDescent="0.25">
      <c r="A533" s="14"/>
      <c r="B533" s="42"/>
      <c r="C533" s="77"/>
      <c r="D533" s="176">
        <f>+D532+1</f>
        <v>2</v>
      </c>
      <c r="E533" s="182" t="s">
        <v>573</v>
      </c>
      <c r="F533" s="175">
        <f>+G532</f>
        <v>9.2899999999999991</v>
      </c>
      <c r="G533" s="77">
        <v>32.54</v>
      </c>
      <c r="H533" s="77"/>
      <c r="I533" s="77"/>
      <c r="J533" s="540"/>
    </row>
    <row r="534" spans="1:10" x14ac:dyDescent="0.25">
      <c r="A534" s="14"/>
      <c r="B534" s="42"/>
      <c r="C534" s="77"/>
      <c r="D534" s="176">
        <f>+D533+1</f>
        <v>3</v>
      </c>
      <c r="E534" s="182" t="s">
        <v>574</v>
      </c>
      <c r="F534" s="175">
        <f>+G533</f>
        <v>32.54</v>
      </c>
      <c r="G534" s="77">
        <v>51.24</v>
      </c>
      <c r="H534" s="77"/>
      <c r="I534" s="77"/>
      <c r="J534" s="540"/>
    </row>
    <row r="535" spans="1:10" x14ac:dyDescent="0.25">
      <c r="A535" s="432"/>
      <c r="B535" s="433"/>
      <c r="C535" s="434"/>
      <c r="D535" s="435">
        <f>+D534+1</f>
        <v>4</v>
      </c>
      <c r="E535" s="447" t="s">
        <v>575</v>
      </c>
      <c r="F535" s="438">
        <f t="shared" ref="F535" si="41">+G534</f>
        <v>51.24</v>
      </c>
      <c r="G535" s="434">
        <v>54.26</v>
      </c>
      <c r="H535" s="434"/>
      <c r="I535" s="434"/>
      <c r="J535" s="540"/>
    </row>
    <row r="536" spans="1:10" x14ac:dyDescent="0.25">
      <c r="A536" s="14"/>
      <c r="B536" s="42"/>
      <c r="C536" s="77"/>
      <c r="D536" s="175"/>
      <c r="E536" s="175"/>
      <c r="F536" s="175"/>
      <c r="G536" s="77"/>
      <c r="H536" s="77"/>
      <c r="I536" s="77"/>
      <c r="J536" s="540" t="str">
        <f>HYPERLINK("https://www.youtube.com/watch?v=7EnTCwBJZi4", "https://www.youtube.com/watch?v=7EnTCwBJZi4")</f>
        <v>https://www.youtube.com/watch?v=7EnTCwBJZi4</v>
      </c>
    </row>
    <row r="537" spans="1:10" x14ac:dyDescent="0.25">
      <c r="A537" s="14">
        <v>90</v>
      </c>
      <c r="B537" s="43">
        <v>44110</v>
      </c>
      <c r="C537" s="80" t="s">
        <v>576</v>
      </c>
      <c r="D537" s="176">
        <v>1</v>
      </c>
      <c r="E537" s="184" t="s">
        <v>577</v>
      </c>
      <c r="F537" s="183">
        <v>3</v>
      </c>
      <c r="G537" s="77">
        <v>16.079999999999998</v>
      </c>
      <c r="H537" s="77"/>
      <c r="I537" s="77" t="s">
        <v>580</v>
      </c>
      <c r="J537" s="540"/>
    </row>
    <row r="538" spans="1:10" x14ac:dyDescent="0.25">
      <c r="A538" s="14"/>
      <c r="B538" s="42"/>
      <c r="C538" s="77"/>
      <c r="D538" s="176">
        <f>+D537+1</f>
        <v>2</v>
      </c>
      <c r="E538" s="184" t="s">
        <v>578</v>
      </c>
      <c r="F538" s="175">
        <f>+G537</f>
        <v>16.079999999999998</v>
      </c>
      <c r="G538" s="79">
        <v>38</v>
      </c>
      <c r="H538" s="77"/>
      <c r="I538" s="77"/>
      <c r="J538" s="540"/>
    </row>
    <row r="539" spans="1:10" x14ac:dyDescent="0.25">
      <c r="A539" s="14"/>
      <c r="B539" s="42"/>
      <c r="C539" s="77"/>
      <c r="D539" s="176">
        <f>+D538+1</f>
        <v>3</v>
      </c>
      <c r="E539" s="184" t="s">
        <v>579</v>
      </c>
      <c r="F539" s="183">
        <f>+G538</f>
        <v>38</v>
      </c>
      <c r="G539" s="79">
        <v>54.5</v>
      </c>
      <c r="H539" s="77"/>
      <c r="I539" s="77"/>
      <c r="J539" s="540"/>
    </row>
    <row r="540" spans="1:10" x14ac:dyDescent="0.25">
      <c r="A540" s="14"/>
      <c r="B540" s="42"/>
      <c r="C540" s="77"/>
      <c r="D540" s="176">
        <f>+D539+1</f>
        <v>4</v>
      </c>
      <c r="E540" s="185" t="s">
        <v>582</v>
      </c>
      <c r="F540" s="183">
        <f>+G539</f>
        <v>54.5</v>
      </c>
      <c r="G540" s="77">
        <v>59.56</v>
      </c>
      <c r="H540" s="279" t="s">
        <v>583</v>
      </c>
      <c r="I540" s="77"/>
      <c r="J540" s="540"/>
    </row>
    <row r="541" spans="1:10" x14ac:dyDescent="0.25">
      <c r="A541" s="432"/>
      <c r="B541" s="433"/>
      <c r="C541" s="434"/>
      <c r="D541" s="438"/>
      <c r="E541" s="438"/>
      <c r="F541" s="438"/>
      <c r="G541" s="434"/>
      <c r="H541" s="434"/>
      <c r="I541" s="434"/>
      <c r="J541" s="540" t="str">
        <f>HYPERLINK("https://www.youtube.com/watch?v=soZ8A0NqrTQ", "https://www.youtube.com/watch?v=soZ8A0NqrTQ")</f>
        <v>https://www.youtube.com/watch?v=soZ8A0NqrTQ</v>
      </c>
    </row>
    <row r="542" spans="1:10" x14ac:dyDescent="0.25">
      <c r="A542" s="14">
        <v>91</v>
      </c>
      <c r="B542" s="43">
        <v>44111</v>
      </c>
      <c r="C542" s="80">
        <v>53.46</v>
      </c>
      <c r="D542" s="176">
        <v>1</v>
      </c>
      <c r="E542" s="185" t="s">
        <v>584</v>
      </c>
      <c r="F542" s="183">
        <v>4.3</v>
      </c>
      <c r="G542" s="79">
        <v>20.25</v>
      </c>
      <c r="H542" s="77"/>
      <c r="I542" s="77" t="s">
        <v>588</v>
      </c>
      <c r="J542" s="540"/>
    </row>
    <row r="543" spans="1:10" x14ac:dyDescent="0.25">
      <c r="A543" s="14"/>
      <c r="B543" s="42"/>
      <c r="C543" s="77"/>
      <c r="D543" s="176">
        <f>+D542+1</f>
        <v>2</v>
      </c>
      <c r="E543" s="185" t="s">
        <v>585</v>
      </c>
      <c r="F543" s="183">
        <f>+G542</f>
        <v>20.25</v>
      </c>
      <c r="G543" s="79">
        <v>25.34</v>
      </c>
      <c r="H543" s="77"/>
      <c r="I543" s="77"/>
      <c r="J543" s="540"/>
    </row>
    <row r="544" spans="1:10" x14ac:dyDescent="0.25">
      <c r="A544" s="14"/>
      <c r="B544" s="42"/>
      <c r="C544" s="77"/>
      <c r="D544" s="176">
        <f>+D543+1</f>
        <v>3</v>
      </c>
      <c r="E544" s="185" t="s">
        <v>586</v>
      </c>
      <c r="F544" s="183">
        <f t="shared" ref="F544" si="42">+G543</f>
        <v>25.34</v>
      </c>
      <c r="G544" s="79">
        <v>30.12</v>
      </c>
      <c r="H544" s="280" t="s">
        <v>137</v>
      </c>
      <c r="I544" s="77"/>
      <c r="J544" s="540"/>
    </row>
    <row r="545" spans="1:10" x14ac:dyDescent="0.25">
      <c r="A545" s="14"/>
      <c r="B545" s="42"/>
      <c r="C545" s="77"/>
      <c r="D545" s="176">
        <f>+D544+1</f>
        <v>4</v>
      </c>
      <c r="E545" s="185" t="s">
        <v>587</v>
      </c>
      <c r="F545" s="183">
        <v>31.52</v>
      </c>
      <c r="G545" s="79">
        <v>49.07</v>
      </c>
      <c r="H545" s="77"/>
      <c r="I545" s="77"/>
      <c r="J545" s="540"/>
    </row>
    <row r="546" spans="1:10" x14ac:dyDescent="0.25">
      <c r="A546" s="14"/>
      <c r="B546" s="42"/>
      <c r="C546" s="77"/>
      <c r="D546" s="176">
        <f>+D545+1</f>
        <v>5</v>
      </c>
      <c r="E546" s="186" t="s">
        <v>589</v>
      </c>
      <c r="F546" s="183">
        <f>+G545</f>
        <v>49.07</v>
      </c>
      <c r="G546" s="79">
        <v>52.5</v>
      </c>
      <c r="H546" s="281" t="s">
        <v>589</v>
      </c>
      <c r="I546" s="77"/>
      <c r="J546" s="540" t="str">
        <f>HYPERLINK("https://www.youtube.com/watch?v=q5X6x1Q6seQ", "https://www.youtube.com/watch?v=q5X6x1Q6seQ")</f>
        <v>https://www.youtube.com/watch?v=q5X6x1Q6seQ</v>
      </c>
    </row>
    <row r="547" spans="1:10" x14ac:dyDescent="0.25">
      <c r="A547" s="432"/>
      <c r="B547" s="433"/>
      <c r="C547" s="434"/>
      <c r="D547" s="438"/>
      <c r="E547" s="438"/>
      <c r="F547" s="438"/>
      <c r="G547" s="434"/>
      <c r="H547" s="434"/>
      <c r="I547" s="434"/>
      <c r="J547" s="540"/>
    </row>
    <row r="548" spans="1:10" x14ac:dyDescent="0.25">
      <c r="A548" s="14">
        <v>92</v>
      </c>
      <c r="B548" s="43">
        <v>44112</v>
      </c>
      <c r="C548" s="77">
        <v>58.37</v>
      </c>
      <c r="D548" s="176">
        <v>1</v>
      </c>
      <c r="E548" s="187" t="s">
        <v>590</v>
      </c>
      <c r="F548" s="175">
        <v>3.05</v>
      </c>
      <c r="G548" s="79">
        <v>16</v>
      </c>
      <c r="H548" s="77"/>
      <c r="I548" s="77" t="s">
        <v>594</v>
      </c>
      <c r="J548" s="540"/>
    </row>
    <row r="549" spans="1:10" x14ac:dyDescent="0.25">
      <c r="A549" s="14"/>
      <c r="B549" s="42"/>
      <c r="C549" s="77"/>
      <c r="D549" s="176">
        <f>+D548+1</f>
        <v>2</v>
      </c>
      <c r="E549" s="187" t="s">
        <v>591</v>
      </c>
      <c r="F549" s="183">
        <f>+G548</f>
        <v>16</v>
      </c>
      <c r="G549" s="77">
        <v>33.25</v>
      </c>
      <c r="H549" s="77"/>
      <c r="I549" s="77"/>
      <c r="J549" s="540"/>
    </row>
    <row r="550" spans="1:10" x14ac:dyDescent="0.25">
      <c r="A550" s="14"/>
      <c r="B550" s="42"/>
      <c r="C550" s="77"/>
      <c r="D550" s="176">
        <f>+D549+1</f>
        <v>3</v>
      </c>
      <c r="E550" s="187" t="s">
        <v>592</v>
      </c>
      <c r="F550" s="183">
        <f t="shared" ref="F550:F551" si="43">+G549</f>
        <v>33.25</v>
      </c>
      <c r="G550" s="77">
        <v>54.57</v>
      </c>
      <c r="H550" s="77"/>
      <c r="I550" s="77"/>
      <c r="J550" s="540"/>
    </row>
    <row r="551" spans="1:10" x14ac:dyDescent="0.25">
      <c r="A551" s="14"/>
      <c r="B551" s="42"/>
      <c r="C551" s="77"/>
      <c r="D551" s="176">
        <f>+D550+1</f>
        <v>4</v>
      </c>
      <c r="E551" s="187" t="s">
        <v>593</v>
      </c>
      <c r="F551" s="183">
        <f t="shared" si="43"/>
        <v>54.57</v>
      </c>
      <c r="G551" s="77">
        <v>58.01</v>
      </c>
      <c r="H551" s="281" t="s">
        <v>593</v>
      </c>
      <c r="I551" s="77"/>
      <c r="J551" s="540"/>
    </row>
    <row r="552" spans="1:10" x14ac:dyDescent="0.25">
      <c r="A552" s="432"/>
      <c r="B552" s="433"/>
      <c r="C552" s="434"/>
      <c r="D552" s="438"/>
      <c r="E552" s="438"/>
      <c r="F552" s="438"/>
      <c r="G552" s="434"/>
      <c r="H552" s="434"/>
      <c r="I552" s="434"/>
      <c r="J552" s="540" t="str">
        <f>HYPERLINK("https://www.youtube.com/watch?v=UF65aY_augo", "https://www.youtube.com/watch?v=UF65aY_augo")</f>
        <v>https://www.youtube.com/watch?v=UF65aY_augo</v>
      </c>
    </row>
    <row r="553" spans="1:10" x14ac:dyDescent="0.25">
      <c r="A553" s="14">
        <v>93</v>
      </c>
      <c r="B553" s="43">
        <v>44113</v>
      </c>
      <c r="C553" s="77">
        <v>56.52</v>
      </c>
      <c r="D553" s="176">
        <v>1</v>
      </c>
      <c r="E553" s="187" t="s">
        <v>595</v>
      </c>
      <c r="F553" s="175">
        <v>3.19</v>
      </c>
      <c r="G553" s="77">
        <v>18.079999999999998</v>
      </c>
      <c r="H553" s="77"/>
      <c r="I553" s="77" t="s">
        <v>599</v>
      </c>
      <c r="J553" s="540"/>
    </row>
    <row r="554" spans="1:10" x14ac:dyDescent="0.25">
      <c r="A554" s="14"/>
      <c r="B554" s="42"/>
      <c r="C554" s="77"/>
      <c r="D554" s="176">
        <f>+D553+1</f>
        <v>2</v>
      </c>
      <c r="E554" s="187" t="s">
        <v>596</v>
      </c>
      <c r="F554" s="175">
        <f>+G553</f>
        <v>18.079999999999998</v>
      </c>
      <c r="G554" s="79">
        <v>29.2</v>
      </c>
      <c r="H554" s="77"/>
      <c r="I554" s="77"/>
      <c r="J554" s="540"/>
    </row>
    <row r="555" spans="1:10" x14ac:dyDescent="0.25">
      <c r="A555" s="14"/>
      <c r="B555" s="42"/>
      <c r="C555" s="77"/>
      <c r="D555" s="176">
        <f>+D554+1</f>
        <v>3</v>
      </c>
      <c r="E555" s="187" t="s">
        <v>597</v>
      </c>
      <c r="F555" s="183">
        <f t="shared" ref="F555:F556" si="44">+G554</f>
        <v>29.2</v>
      </c>
      <c r="G555" s="77">
        <v>46.18</v>
      </c>
      <c r="H555" s="77"/>
      <c r="I555" s="77"/>
      <c r="J555" s="540"/>
    </row>
    <row r="556" spans="1:10" x14ac:dyDescent="0.25">
      <c r="A556" s="432"/>
      <c r="B556" s="433"/>
      <c r="C556" s="434"/>
      <c r="D556" s="435">
        <f>+D555+1</f>
        <v>4</v>
      </c>
      <c r="E556" s="448" t="s">
        <v>598</v>
      </c>
      <c r="F556" s="438">
        <f t="shared" si="44"/>
        <v>46.18</v>
      </c>
      <c r="G556" s="434">
        <v>55.56</v>
      </c>
      <c r="H556" s="434"/>
      <c r="I556" s="434"/>
      <c r="J556" s="540"/>
    </row>
    <row r="557" spans="1:10" x14ac:dyDescent="0.25">
      <c r="A557" s="14"/>
      <c r="B557" s="42"/>
      <c r="C557" s="77"/>
      <c r="D557" s="175"/>
      <c r="E557" s="175"/>
      <c r="F557" s="175"/>
      <c r="G557" s="77"/>
      <c r="H557" s="77"/>
      <c r="I557" s="77"/>
      <c r="J557" s="540" t="str">
        <f>HYPERLINK("https://www.youtube.com/watch?v=1qvxuhCyam0", "https://www.youtube.com/watch?v=1qvxuhCyam0")</f>
        <v>https://www.youtube.com/watch?v=1qvxuhCyam0</v>
      </c>
    </row>
    <row r="558" spans="1:10" x14ac:dyDescent="0.25">
      <c r="A558" s="14">
        <v>94</v>
      </c>
      <c r="B558" s="43">
        <v>44114</v>
      </c>
      <c r="C558" s="77">
        <v>59.39</v>
      </c>
      <c r="D558" s="176">
        <v>1</v>
      </c>
      <c r="E558" s="188" t="s">
        <v>600</v>
      </c>
      <c r="F558" s="183">
        <v>1</v>
      </c>
      <c r="G558" s="77">
        <v>8.0500000000000007</v>
      </c>
      <c r="H558" s="77"/>
      <c r="I558" s="77" t="s">
        <v>604</v>
      </c>
      <c r="J558" s="540"/>
    </row>
    <row r="559" spans="1:10" x14ac:dyDescent="0.25">
      <c r="A559" s="14"/>
      <c r="B559" s="42"/>
      <c r="C559" s="77"/>
      <c r="D559" s="176">
        <f>+D558+1</f>
        <v>2</v>
      </c>
      <c r="E559" s="188" t="s">
        <v>601</v>
      </c>
      <c r="F559" s="175">
        <f>+G558</f>
        <v>8.0500000000000007</v>
      </c>
      <c r="G559" s="77">
        <v>20.03</v>
      </c>
      <c r="H559" s="77"/>
      <c r="I559" s="77"/>
      <c r="J559" s="540"/>
    </row>
    <row r="560" spans="1:10" x14ac:dyDescent="0.25">
      <c r="A560" s="14"/>
      <c r="B560" s="42"/>
      <c r="C560" s="77"/>
      <c r="D560" s="176">
        <f>+D559+1</f>
        <v>3</v>
      </c>
      <c r="E560" s="188" t="s">
        <v>602</v>
      </c>
      <c r="F560" s="175">
        <f t="shared" ref="F560:F563" si="45">+G559</f>
        <v>20.03</v>
      </c>
      <c r="G560" s="77">
        <v>29.48</v>
      </c>
      <c r="H560" s="77"/>
      <c r="I560" s="77"/>
      <c r="J560" s="540"/>
    </row>
    <row r="561" spans="1:10" x14ac:dyDescent="0.25">
      <c r="A561" s="14"/>
      <c r="B561" s="42"/>
      <c r="C561" s="77"/>
      <c r="D561" s="176">
        <f>+D560+1</f>
        <v>4</v>
      </c>
      <c r="E561" s="188" t="s">
        <v>603</v>
      </c>
      <c r="F561" s="175">
        <f t="shared" si="45"/>
        <v>29.48</v>
      </c>
      <c r="G561" s="77">
        <v>36.409999999999997</v>
      </c>
      <c r="H561" s="77"/>
      <c r="I561" s="77"/>
      <c r="J561" s="540"/>
    </row>
    <row r="562" spans="1:10" x14ac:dyDescent="0.25">
      <c r="A562" s="14"/>
      <c r="B562" s="42"/>
      <c r="C562" s="77"/>
      <c r="D562" s="176">
        <f t="shared" ref="D562:D563" si="46">+D561+1</f>
        <v>5</v>
      </c>
      <c r="E562" s="189" t="s">
        <v>605</v>
      </c>
      <c r="F562" s="175">
        <f t="shared" si="45"/>
        <v>36.409999999999997</v>
      </c>
      <c r="G562" s="77">
        <v>48.14</v>
      </c>
      <c r="H562" s="77"/>
      <c r="I562" s="77"/>
      <c r="J562" s="540" t="str">
        <f>HYPERLINK("https://www.youtube.com/watch?v=8OnQAAEH5jk", "https://www.youtube.com/watch?v=8OnQAAEH5jk")</f>
        <v>https://www.youtube.com/watch?v=8OnQAAEH5jk</v>
      </c>
    </row>
    <row r="563" spans="1:10" x14ac:dyDescent="0.25">
      <c r="A563" s="432"/>
      <c r="B563" s="433"/>
      <c r="C563" s="434"/>
      <c r="D563" s="435">
        <f t="shared" si="46"/>
        <v>6</v>
      </c>
      <c r="E563" s="449" t="s">
        <v>606</v>
      </c>
      <c r="F563" s="438">
        <f t="shared" si="45"/>
        <v>48.14</v>
      </c>
      <c r="G563" s="434">
        <v>59.08</v>
      </c>
      <c r="H563" s="434"/>
      <c r="I563" s="434"/>
      <c r="J563" s="540"/>
    </row>
    <row r="564" spans="1:10" x14ac:dyDescent="0.25">
      <c r="A564" s="440"/>
      <c r="B564" s="450"/>
      <c r="C564" s="446"/>
      <c r="D564" s="451"/>
      <c r="E564" s="451"/>
      <c r="F564" s="451"/>
      <c r="G564" s="446"/>
      <c r="H564" s="446"/>
      <c r="I564" s="446"/>
      <c r="J564" s="540"/>
    </row>
    <row r="565" spans="1:10" x14ac:dyDescent="0.25">
      <c r="A565" s="14">
        <v>95</v>
      </c>
      <c r="B565" s="43">
        <v>44115</v>
      </c>
      <c r="C565" s="77">
        <v>55.37</v>
      </c>
      <c r="D565" s="176">
        <v>1</v>
      </c>
      <c r="E565" s="190" t="s">
        <v>607</v>
      </c>
      <c r="F565" s="183">
        <v>3.1</v>
      </c>
      <c r="G565" s="77">
        <v>18.059999999999999</v>
      </c>
      <c r="H565" s="77"/>
      <c r="I565" s="77" t="s">
        <v>611</v>
      </c>
      <c r="J565" s="540"/>
    </row>
    <row r="566" spans="1:10" x14ac:dyDescent="0.25">
      <c r="A566" s="14"/>
      <c r="B566" s="42"/>
      <c r="C566" s="77"/>
      <c r="D566" s="176">
        <f>+D565+1</f>
        <v>2</v>
      </c>
      <c r="E566" s="190" t="s">
        <v>608</v>
      </c>
      <c r="F566" s="175">
        <f>+G565</f>
        <v>18.059999999999999</v>
      </c>
      <c r="G566" s="79">
        <v>32</v>
      </c>
      <c r="H566" s="77"/>
      <c r="I566" s="77"/>
      <c r="J566" s="540"/>
    </row>
    <row r="567" spans="1:10" x14ac:dyDescent="0.25">
      <c r="A567" s="14"/>
      <c r="B567" s="42"/>
      <c r="C567" s="77"/>
      <c r="D567" s="176">
        <f>+D566+1</f>
        <v>3</v>
      </c>
      <c r="E567" s="190" t="s">
        <v>609</v>
      </c>
      <c r="F567" s="183">
        <f t="shared" ref="F567:F568" si="47">+G566</f>
        <v>32</v>
      </c>
      <c r="G567" s="77">
        <v>49.01</v>
      </c>
      <c r="H567" s="77"/>
      <c r="I567" s="77"/>
      <c r="J567" s="540"/>
    </row>
    <row r="568" spans="1:10" x14ac:dyDescent="0.25">
      <c r="A568" s="14"/>
      <c r="B568" s="42"/>
      <c r="C568" s="77"/>
      <c r="D568" s="176">
        <f>+D567+1</f>
        <v>4</v>
      </c>
      <c r="E568" s="190" t="s">
        <v>610</v>
      </c>
      <c r="F568" s="175">
        <f t="shared" si="47"/>
        <v>49.01</v>
      </c>
      <c r="G568" s="77">
        <v>54.38</v>
      </c>
      <c r="H568" s="282" t="s">
        <v>612</v>
      </c>
      <c r="I568" s="77"/>
      <c r="J568" s="540"/>
    </row>
    <row r="569" spans="1:10" x14ac:dyDescent="0.25">
      <c r="A569" s="432"/>
      <c r="B569" s="433"/>
      <c r="C569" s="434"/>
      <c r="D569" s="435"/>
      <c r="E569" s="438"/>
      <c r="F569" s="438"/>
      <c r="G569" s="434"/>
      <c r="H569" s="434"/>
      <c r="I569" s="434"/>
      <c r="J569" s="540" t="str">
        <f>HYPERLINK("https://www.youtube.com/watch?v=Km_f4mE1S4g", "https://www.youtube.com/watch?v=Km_f4mE1S4g")</f>
        <v>https://www.youtube.com/watch?v=Km_f4mE1S4g</v>
      </c>
    </row>
    <row r="570" spans="1:10" x14ac:dyDescent="0.25">
      <c r="A570" s="14">
        <v>96</v>
      </c>
      <c r="B570" s="43">
        <v>44116</v>
      </c>
      <c r="C570" s="77">
        <v>56.28</v>
      </c>
      <c r="D570" s="176">
        <v>1</v>
      </c>
      <c r="E570" s="191" t="s">
        <v>613</v>
      </c>
      <c r="F570" s="175">
        <v>5.34</v>
      </c>
      <c r="G570" s="77">
        <v>18.37</v>
      </c>
      <c r="H570" s="77"/>
      <c r="I570" s="77" t="s">
        <v>617</v>
      </c>
      <c r="J570" s="540"/>
    </row>
    <row r="571" spans="1:10" x14ac:dyDescent="0.25">
      <c r="A571" s="14"/>
      <c r="B571" s="42"/>
      <c r="C571" s="77"/>
      <c r="D571" s="176">
        <f>+D570+1</f>
        <v>2</v>
      </c>
      <c r="E571" s="191" t="s">
        <v>614</v>
      </c>
      <c r="F571" s="175">
        <f>+G570</f>
        <v>18.37</v>
      </c>
      <c r="G571" s="77">
        <v>39.56</v>
      </c>
      <c r="H571" s="77"/>
      <c r="I571" s="77"/>
      <c r="J571" s="540"/>
    </row>
    <row r="572" spans="1:10" x14ac:dyDescent="0.25">
      <c r="A572" s="14"/>
      <c r="B572" s="42"/>
      <c r="C572" s="77"/>
      <c r="D572" s="176">
        <f>+D571+1</f>
        <v>3</v>
      </c>
      <c r="E572" s="191" t="s">
        <v>615</v>
      </c>
      <c r="F572" s="175">
        <f>+G571</f>
        <v>39.56</v>
      </c>
      <c r="G572" s="77">
        <v>54.02</v>
      </c>
      <c r="H572" s="77"/>
      <c r="I572" s="77"/>
      <c r="J572" s="540"/>
    </row>
    <row r="573" spans="1:10" x14ac:dyDescent="0.25">
      <c r="A573" s="14"/>
      <c r="B573" s="42"/>
      <c r="C573" s="77"/>
      <c r="D573" s="176">
        <f>+D572+1</f>
        <v>4</v>
      </c>
      <c r="E573" s="192" t="s">
        <v>616</v>
      </c>
      <c r="F573" s="175">
        <f>+G572</f>
        <v>54.02</v>
      </c>
      <c r="G573" s="77">
        <v>56.28</v>
      </c>
      <c r="H573" s="283" t="s">
        <v>616</v>
      </c>
      <c r="I573" s="77"/>
      <c r="J573" s="540"/>
    </row>
    <row r="574" spans="1:10" x14ac:dyDescent="0.25">
      <c r="A574" s="432"/>
      <c r="B574" s="433"/>
      <c r="C574" s="434"/>
      <c r="D574" s="438"/>
      <c r="E574" s="438"/>
      <c r="F574" s="438"/>
      <c r="G574" s="434"/>
      <c r="H574" s="434"/>
      <c r="I574" s="434"/>
      <c r="J574" s="540" t="str">
        <f>HYPERLINK("https://www.youtube.com/watch?v=E6Tivz6MEmY", "https://www.youtube.com/watch?v=E6Tivz6MEmY")</f>
        <v>https://www.youtube.com/watch?v=E6Tivz6MEmY</v>
      </c>
    </row>
    <row r="575" spans="1:10" x14ac:dyDescent="0.25">
      <c r="A575" s="14">
        <v>97</v>
      </c>
      <c r="B575" s="43">
        <v>44117</v>
      </c>
      <c r="C575" s="77">
        <v>56.07</v>
      </c>
      <c r="D575" s="176">
        <v>1</v>
      </c>
      <c r="E575" s="193" t="s">
        <v>619</v>
      </c>
      <c r="F575" s="183">
        <v>2.5</v>
      </c>
      <c r="G575" s="79">
        <v>13.01</v>
      </c>
      <c r="H575" s="77"/>
      <c r="I575" s="77" t="s">
        <v>618</v>
      </c>
      <c r="J575" s="540"/>
    </row>
    <row r="576" spans="1:10" x14ac:dyDescent="0.25">
      <c r="A576" s="14"/>
      <c r="B576" s="42"/>
      <c r="C576" s="77"/>
      <c r="D576" s="176">
        <f>+D575+1</f>
        <v>2</v>
      </c>
      <c r="E576" s="193" t="s">
        <v>620</v>
      </c>
      <c r="F576" s="183">
        <f>+G575</f>
        <v>13.01</v>
      </c>
      <c r="G576" s="79">
        <v>30.04</v>
      </c>
      <c r="H576" s="77"/>
      <c r="I576" s="77"/>
      <c r="J576" s="540"/>
    </row>
    <row r="577" spans="1:10" x14ac:dyDescent="0.25">
      <c r="A577" s="14"/>
      <c r="B577" s="42"/>
      <c r="C577" s="77"/>
      <c r="D577" s="176">
        <f>+D576+1</f>
        <v>3</v>
      </c>
      <c r="E577" s="193" t="s">
        <v>621</v>
      </c>
      <c r="F577" s="183">
        <f t="shared" ref="F577:F578" si="48">+G576</f>
        <v>30.04</v>
      </c>
      <c r="G577" s="79">
        <v>43.42</v>
      </c>
      <c r="H577" s="77"/>
      <c r="I577" s="77"/>
      <c r="J577" s="540"/>
    </row>
    <row r="578" spans="1:10" x14ac:dyDescent="0.25">
      <c r="A578" s="432"/>
      <c r="B578" s="433"/>
      <c r="C578" s="434"/>
      <c r="D578" s="435">
        <f>+D577+1</f>
        <v>4</v>
      </c>
      <c r="E578" s="452" t="s">
        <v>622</v>
      </c>
      <c r="F578" s="453">
        <f t="shared" si="48"/>
        <v>43.42</v>
      </c>
      <c r="G578" s="436">
        <v>55.05</v>
      </c>
      <c r="H578" s="434"/>
      <c r="I578" s="434"/>
      <c r="J578" s="540"/>
    </row>
    <row r="579" spans="1:10" x14ac:dyDescent="0.25">
      <c r="A579" s="440"/>
      <c r="B579" s="450"/>
      <c r="C579" s="446"/>
      <c r="D579" s="451"/>
      <c r="E579" s="451"/>
      <c r="F579" s="451"/>
      <c r="G579" s="446"/>
      <c r="H579" s="446"/>
      <c r="I579" s="446"/>
      <c r="J579" s="540" t="str">
        <f>HYPERLINK("https://www.youtube.com/watch?v=RydQN59j44c", "https://www.youtube.com/watch?v=RydQN59j44c")</f>
        <v>https://www.youtube.com/watch?v=RydQN59j44c</v>
      </c>
    </row>
    <row r="580" spans="1:10" x14ac:dyDescent="0.25">
      <c r="A580" s="14">
        <v>98</v>
      </c>
      <c r="B580" s="43">
        <v>44118</v>
      </c>
      <c r="C580" s="77">
        <v>57.51</v>
      </c>
      <c r="D580" s="176">
        <v>1</v>
      </c>
      <c r="E580" s="193" t="s">
        <v>623</v>
      </c>
      <c r="F580" s="175">
        <v>3.56</v>
      </c>
      <c r="G580" s="77">
        <v>26.32</v>
      </c>
      <c r="H580" s="77"/>
      <c r="I580" s="77" t="s">
        <v>627</v>
      </c>
      <c r="J580" s="540"/>
    </row>
    <row r="581" spans="1:10" x14ac:dyDescent="0.25">
      <c r="A581" s="14"/>
      <c r="B581" s="42"/>
      <c r="C581" s="77"/>
      <c r="D581" s="176">
        <f>+D580+1</f>
        <v>2</v>
      </c>
      <c r="E581" s="193" t="s">
        <v>624</v>
      </c>
      <c r="F581" s="175">
        <f>+G580</f>
        <v>26.32</v>
      </c>
      <c r="G581" s="77">
        <v>44.38</v>
      </c>
      <c r="H581" s="77"/>
      <c r="I581" s="77"/>
      <c r="J581" s="540"/>
    </row>
    <row r="582" spans="1:10" x14ac:dyDescent="0.25">
      <c r="A582" s="14"/>
      <c r="B582" s="42"/>
      <c r="C582" s="77"/>
      <c r="D582" s="176">
        <f>+D581+1</f>
        <v>3</v>
      </c>
      <c r="E582" s="193" t="s">
        <v>625</v>
      </c>
      <c r="F582" s="175">
        <f t="shared" ref="F582:F583" si="49">+G581</f>
        <v>44.38</v>
      </c>
      <c r="G582" s="79">
        <v>55</v>
      </c>
      <c r="H582" s="77"/>
      <c r="I582" s="77"/>
      <c r="J582" s="540"/>
    </row>
    <row r="583" spans="1:10" x14ac:dyDescent="0.25">
      <c r="A583" s="14"/>
      <c r="B583" s="42"/>
      <c r="C583" s="77"/>
      <c r="D583" s="176">
        <f>+D582+1</f>
        <v>4</v>
      </c>
      <c r="E583" s="193" t="s">
        <v>626</v>
      </c>
      <c r="F583" s="183">
        <f t="shared" si="49"/>
        <v>55</v>
      </c>
      <c r="G583" s="77">
        <v>57.12</v>
      </c>
      <c r="H583" s="284" t="s">
        <v>626</v>
      </c>
      <c r="I583" s="77"/>
      <c r="J583" s="540"/>
    </row>
    <row r="584" spans="1:10" x14ac:dyDescent="0.25">
      <c r="A584" s="432"/>
      <c r="B584" s="433"/>
      <c r="C584" s="434"/>
      <c r="D584" s="438"/>
      <c r="E584" s="438"/>
      <c r="F584" s="438"/>
      <c r="G584" s="434"/>
      <c r="H584" s="434"/>
      <c r="I584" s="434"/>
      <c r="J584" s="540" t="str">
        <f>HYPERLINK("https://www.youtube.com/watch?v=-zWlmfF_IsE", "https://www.youtube.com/watch?v=-zWlmfF_IsE")</f>
        <v>https://www.youtube.com/watch?v=-zWlmfF_IsE</v>
      </c>
    </row>
    <row r="585" spans="1:10" x14ac:dyDescent="0.25">
      <c r="A585" s="14">
        <v>99</v>
      </c>
      <c r="B585" s="43">
        <v>44119</v>
      </c>
      <c r="C585" s="77">
        <v>57.29</v>
      </c>
      <c r="D585" s="176">
        <v>1</v>
      </c>
      <c r="E585" s="194" t="s">
        <v>628</v>
      </c>
      <c r="F585" s="175">
        <v>2.35</v>
      </c>
      <c r="G585" s="77">
        <v>12.36</v>
      </c>
      <c r="H585" s="77"/>
      <c r="I585" s="77" t="s">
        <v>634</v>
      </c>
      <c r="J585" s="540"/>
    </row>
    <row r="586" spans="1:10" x14ac:dyDescent="0.25">
      <c r="A586" s="14"/>
      <c r="B586" s="42"/>
      <c r="C586" s="77"/>
      <c r="D586" s="176">
        <f>+D585+1</f>
        <v>2</v>
      </c>
      <c r="E586" s="195" t="s">
        <v>630</v>
      </c>
      <c r="F586" s="175">
        <f>+G585</f>
        <v>12.36</v>
      </c>
      <c r="G586" s="77">
        <v>25.21</v>
      </c>
      <c r="H586" s="77"/>
      <c r="I586" s="77"/>
      <c r="J586" s="540"/>
    </row>
    <row r="587" spans="1:10" x14ac:dyDescent="0.25">
      <c r="A587" s="14"/>
      <c r="B587" s="42"/>
      <c r="C587" s="77"/>
      <c r="D587" s="176">
        <f>+D586+1</f>
        <v>3</v>
      </c>
      <c r="E587" s="195" t="s">
        <v>631</v>
      </c>
      <c r="F587" s="175">
        <f t="shared" ref="F587:F589" si="50">+G586</f>
        <v>25.21</v>
      </c>
      <c r="G587" s="77">
        <v>34.18</v>
      </c>
      <c r="H587" s="77"/>
      <c r="I587" s="77"/>
      <c r="J587" s="540"/>
    </row>
    <row r="588" spans="1:10" x14ac:dyDescent="0.25">
      <c r="A588" s="14"/>
      <c r="B588" s="42"/>
      <c r="C588" s="77"/>
      <c r="D588" s="176">
        <f>+D587+1</f>
        <v>4</v>
      </c>
      <c r="E588" s="195" t="s">
        <v>632</v>
      </c>
      <c r="F588" s="175">
        <f t="shared" si="50"/>
        <v>34.18</v>
      </c>
      <c r="G588" s="77">
        <v>46.58</v>
      </c>
      <c r="H588" s="77"/>
      <c r="I588" s="77"/>
      <c r="J588" s="540"/>
    </row>
    <row r="589" spans="1:10" x14ac:dyDescent="0.25">
      <c r="A589" s="14"/>
      <c r="B589" s="42"/>
      <c r="C589" s="77"/>
      <c r="D589" s="176">
        <f>+D588+1</f>
        <v>5</v>
      </c>
      <c r="E589" s="195" t="s">
        <v>633</v>
      </c>
      <c r="F589" s="175">
        <f t="shared" si="50"/>
        <v>46.58</v>
      </c>
      <c r="G589" s="77">
        <v>56.54</v>
      </c>
      <c r="H589" s="77"/>
      <c r="I589" s="77"/>
      <c r="J589" s="540" t="str">
        <f>HYPERLINK("https://www.youtube.com/watch?v=-iKJWs4AHWU", "https://www.youtube.com/watch?v=-iKJWs4AHWU")</f>
        <v>https://www.youtube.com/watch?v=-iKJWs4AHWU</v>
      </c>
    </row>
    <row r="590" spans="1:10" x14ac:dyDescent="0.25">
      <c r="A590" s="432"/>
      <c r="B590" s="433"/>
      <c r="C590" s="434"/>
      <c r="D590" s="438"/>
      <c r="E590" s="438"/>
      <c r="F590" s="438"/>
      <c r="G590" s="434"/>
      <c r="H590" s="434"/>
      <c r="I590" s="434"/>
      <c r="J590" s="540"/>
    </row>
    <row r="591" spans="1:10" x14ac:dyDescent="0.25">
      <c r="A591" s="440">
        <v>100</v>
      </c>
      <c r="B591" s="441">
        <v>44120</v>
      </c>
      <c r="C591" s="446">
        <v>57.17</v>
      </c>
      <c r="D591" s="443">
        <v>1</v>
      </c>
      <c r="E591" s="454" t="s">
        <v>635</v>
      </c>
      <c r="F591" s="451">
        <v>4.25</v>
      </c>
      <c r="G591" s="442">
        <v>20.3</v>
      </c>
      <c r="H591" s="446"/>
      <c r="I591" s="446" t="s">
        <v>652</v>
      </c>
      <c r="J591" s="540"/>
    </row>
    <row r="592" spans="1:10" x14ac:dyDescent="0.25">
      <c r="A592" s="14"/>
      <c r="B592" s="42"/>
      <c r="C592" s="77"/>
      <c r="D592" s="176">
        <f>+D591+1</f>
        <v>2</v>
      </c>
      <c r="E592" s="195" t="s">
        <v>636</v>
      </c>
      <c r="F592" s="183">
        <f>+G591</f>
        <v>20.3</v>
      </c>
      <c r="G592" s="77">
        <v>42.44</v>
      </c>
      <c r="H592" s="77"/>
      <c r="I592" s="77"/>
      <c r="J592" s="540"/>
    </row>
    <row r="593" spans="1:10" x14ac:dyDescent="0.25">
      <c r="A593" s="14"/>
      <c r="B593" s="42"/>
      <c r="C593" s="77"/>
      <c r="D593" s="176">
        <f>+D592+1</f>
        <v>3</v>
      </c>
      <c r="E593" s="195" t="s">
        <v>637</v>
      </c>
      <c r="F593" s="175">
        <f t="shared" ref="F593:F600" si="51">+G592</f>
        <v>42.44</v>
      </c>
      <c r="G593" s="77">
        <v>45.12</v>
      </c>
      <c r="H593" s="77"/>
      <c r="I593" s="77"/>
      <c r="J593" s="540"/>
    </row>
    <row r="594" spans="1:10" x14ac:dyDescent="0.25">
      <c r="A594" s="14"/>
      <c r="B594" s="42"/>
      <c r="C594" s="77"/>
      <c r="D594" s="176">
        <f>+D593+1</f>
        <v>4</v>
      </c>
      <c r="E594" s="195" t="s">
        <v>638</v>
      </c>
      <c r="F594" s="175">
        <f t="shared" si="51"/>
        <v>45.12</v>
      </c>
      <c r="G594" s="77">
        <v>47.05</v>
      </c>
      <c r="H594" s="77"/>
      <c r="I594" s="77"/>
      <c r="J594" s="540"/>
    </row>
    <row r="595" spans="1:10" x14ac:dyDescent="0.25">
      <c r="A595" s="14"/>
      <c r="B595" s="42"/>
      <c r="C595" s="77"/>
      <c r="D595" s="176">
        <f>+D594+1</f>
        <v>5</v>
      </c>
      <c r="E595" s="195" t="s">
        <v>639</v>
      </c>
      <c r="F595" s="175">
        <f t="shared" si="51"/>
        <v>47.05</v>
      </c>
      <c r="G595" s="77">
        <v>48.34</v>
      </c>
      <c r="H595" s="77"/>
      <c r="I595" s="77"/>
      <c r="J595" s="540" t="str">
        <f>HYPERLINK("https://www.youtube.com/watch?v=bUMIAvgMFwM", "https://www.youtube.com/watch?v=bUMIAvgMFwM")</f>
        <v>https://www.youtube.com/watch?v=bUMIAvgMFwM</v>
      </c>
    </row>
    <row r="596" spans="1:10" x14ac:dyDescent="0.25">
      <c r="A596" s="14"/>
      <c r="B596" s="42"/>
      <c r="C596" s="77"/>
      <c r="D596" s="176">
        <f t="shared" ref="D596:D600" si="52">+D595+1</f>
        <v>6</v>
      </c>
      <c r="E596" s="195" t="s">
        <v>640</v>
      </c>
      <c r="F596" s="175">
        <f t="shared" si="51"/>
        <v>48.34</v>
      </c>
      <c r="G596" s="77">
        <v>50.15</v>
      </c>
      <c r="H596" s="77"/>
      <c r="I596" s="77"/>
      <c r="J596" s="540"/>
    </row>
    <row r="597" spans="1:10" x14ac:dyDescent="0.25">
      <c r="A597" s="14"/>
      <c r="B597" s="42"/>
      <c r="C597" s="77"/>
      <c r="D597" s="176">
        <f t="shared" si="52"/>
        <v>7</v>
      </c>
      <c r="E597" s="195" t="s">
        <v>641</v>
      </c>
      <c r="F597" s="175">
        <f t="shared" si="51"/>
        <v>50.15</v>
      </c>
      <c r="G597" s="77">
        <v>51.48</v>
      </c>
      <c r="H597" s="77"/>
      <c r="I597" s="77"/>
      <c r="J597" s="540"/>
    </row>
    <row r="598" spans="1:10" x14ac:dyDescent="0.25">
      <c r="A598" s="14"/>
      <c r="B598" s="42"/>
      <c r="C598" s="77"/>
      <c r="D598" s="176">
        <f t="shared" si="52"/>
        <v>8</v>
      </c>
      <c r="E598" s="196" t="s">
        <v>643</v>
      </c>
      <c r="F598" s="175">
        <f t="shared" si="51"/>
        <v>51.48</v>
      </c>
      <c r="G598" s="77">
        <v>53.13</v>
      </c>
      <c r="H598" s="77"/>
      <c r="I598" s="77"/>
      <c r="J598" s="540"/>
    </row>
    <row r="599" spans="1:10" x14ac:dyDescent="0.25">
      <c r="A599" s="14"/>
      <c r="B599" s="42"/>
      <c r="C599" s="77"/>
      <c r="D599" s="176">
        <f t="shared" si="52"/>
        <v>9</v>
      </c>
      <c r="E599" s="196" t="s">
        <v>644</v>
      </c>
      <c r="F599" s="175">
        <f t="shared" si="51"/>
        <v>53.13</v>
      </c>
      <c r="G599" s="77">
        <v>54.54</v>
      </c>
      <c r="H599" s="77"/>
      <c r="I599" s="77"/>
      <c r="J599" s="540"/>
    </row>
    <row r="600" spans="1:10" x14ac:dyDescent="0.25">
      <c r="A600" s="432"/>
      <c r="B600" s="433"/>
      <c r="C600" s="434"/>
      <c r="D600" s="435">
        <f t="shared" si="52"/>
        <v>10</v>
      </c>
      <c r="E600" s="455" t="s">
        <v>645</v>
      </c>
      <c r="F600" s="438">
        <f t="shared" si="51"/>
        <v>54.54</v>
      </c>
      <c r="G600" s="434">
        <v>56.17</v>
      </c>
      <c r="H600" s="434"/>
      <c r="I600" s="434"/>
      <c r="J600" s="540"/>
    </row>
    <row r="601" spans="1:10" x14ac:dyDescent="0.25">
      <c r="A601" s="440"/>
      <c r="B601" s="450"/>
      <c r="C601" s="446"/>
      <c r="D601" s="443"/>
      <c r="E601" s="451"/>
      <c r="F601" s="451"/>
      <c r="G601" s="446"/>
      <c r="H601" s="446"/>
      <c r="I601" s="446"/>
      <c r="J601" s="540"/>
    </row>
    <row r="602" spans="1:10" x14ac:dyDescent="0.25">
      <c r="A602" s="14">
        <v>101</v>
      </c>
      <c r="B602" s="43">
        <v>44121</v>
      </c>
      <c r="C602" s="77">
        <v>57.56</v>
      </c>
      <c r="D602" s="176">
        <v>1</v>
      </c>
      <c r="E602" s="196" t="s">
        <v>646</v>
      </c>
      <c r="F602" s="175">
        <v>3.01</v>
      </c>
      <c r="G602" s="79">
        <v>4.3</v>
      </c>
      <c r="H602" s="77"/>
      <c r="I602" s="77" t="s">
        <v>653</v>
      </c>
      <c r="J602" s="540"/>
    </row>
    <row r="603" spans="1:10" x14ac:dyDescent="0.25">
      <c r="A603" s="14"/>
      <c r="B603" s="42"/>
      <c r="C603" s="77"/>
      <c r="D603" s="176">
        <f>+D602+1</f>
        <v>2</v>
      </c>
      <c r="E603" s="196" t="s">
        <v>647</v>
      </c>
      <c r="F603" s="183">
        <f>+G602</f>
        <v>4.3</v>
      </c>
      <c r="G603" s="77">
        <v>5.58</v>
      </c>
      <c r="H603" s="77"/>
      <c r="I603" s="77"/>
      <c r="J603" s="540"/>
    </row>
    <row r="604" spans="1:10" x14ac:dyDescent="0.25">
      <c r="A604" s="14"/>
      <c r="B604" s="42"/>
      <c r="C604" s="77"/>
      <c r="D604" s="176">
        <f>+D603+1</f>
        <v>3</v>
      </c>
      <c r="E604" s="196" t="s">
        <v>648</v>
      </c>
      <c r="F604" s="175">
        <f t="shared" ref="F604:F611" si="53">+G603</f>
        <v>5.58</v>
      </c>
      <c r="G604" s="79">
        <v>7.2</v>
      </c>
      <c r="H604" s="77"/>
      <c r="I604" s="77"/>
      <c r="J604" s="540"/>
    </row>
    <row r="605" spans="1:10" x14ac:dyDescent="0.25">
      <c r="A605" s="14"/>
      <c r="B605" s="42"/>
      <c r="C605" s="77"/>
      <c r="D605" s="176">
        <f>+D604+1</f>
        <v>4</v>
      </c>
      <c r="E605" s="196" t="s">
        <v>649</v>
      </c>
      <c r="F605" s="183">
        <f t="shared" si="53"/>
        <v>7.2</v>
      </c>
      <c r="G605" s="79">
        <v>9.1999999999999993</v>
      </c>
      <c r="H605" s="77"/>
      <c r="I605" s="77"/>
      <c r="J605" s="540"/>
    </row>
    <row r="606" spans="1:10" x14ac:dyDescent="0.25">
      <c r="A606" s="14"/>
      <c r="B606" s="42"/>
      <c r="C606" s="77"/>
      <c r="D606" s="176">
        <f>+D605+1</f>
        <v>5</v>
      </c>
      <c r="E606" s="196" t="s">
        <v>650</v>
      </c>
      <c r="F606" s="183">
        <f t="shared" si="53"/>
        <v>9.1999999999999993</v>
      </c>
      <c r="G606" s="79">
        <v>10.52</v>
      </c>
      <c r="H606" s="77"/>
      <c r="I606" s="77"/>
      <c r="J606" s="540" t="str">
        <f>HYPERLINK("https://www.youtube.com/watch?v=ZGPMrt6n_gQ", "https://www.youtube.com/watch?v=ZGPMrt6n_gQ")</f>
        <v>https://www.youtube.com/watch?v=ZGPMrt6n_gQ</v>
      </c>
    </row>
    <row r="607" spans="1:10" x14ac:dyDescent="0.25">
      <c r="A607" s="14"/>
      <c r="B607" s="42"/>
      <c r="C607" s="77"/>
      <c r="D607" s="176">
        <f t="shared" ref="D607:D611" si="54">+D606+1</f>
        <v>6</v>
      </c>
      <c r="E607" s="196" t="s">
        <v>651</v>
      </c>
      <c r="F607" s="183">
        <f t="shared" si="53"/>
        <v>10.52</v>
      </c>
      <c r="G607" s="79">
        <v>12.51</v>
      </c>
      <c r="H607" s="77"/>
      <c r="I607" s="77"/>
      <c r="J607" s="540"/>
    </row>
    <row r="608" spans="1:10" x14ac:dyDescent="0.25">
      <c r="A608" s="14"/>
      <c r="B608" s="42"/>
      <c r="C608" s="77"/>
      <c r="D608" s="176">
        <f t="shared" si="54"/>
        <v>7</v>
      </c>
      <c r="E608" s="197" t="s">
        <v>654</v>
      </c>
      <c r="F608" s="183">
        <f t="shared" si="53"/>
        <v>12.51</v>
      </c>
      <c r="G608" s="77">
        <v>24.23</v>
      </c>
      <c r="H608" s="77"/>
      <c r="I608" s="77"/>
      <c r="J608" s="540"/>
    </row>
    <row r="609" spans="1:10" x14ac:dyDescent="0.25">
      <c r="A609" s="14"/>
      <c r="B609" s="42"/>
      <c r="C609" s="77"/>
      <c r="D609" s="176">
        <f t="shared" si="54"/>
        <v>8</v>
      </c>
      <c r="E609" s="197" t="s">
        <v>655</v>
      </c>
      <c r="F609" s="183">
        <f t="shared" si="53"/>
        <v>24.23</v>
      </c>
      <c r="G609" s="77">
        <v>41.25</v>
      </c>
      <c r="H609" s="77"/>
      <c r="I609" s="77"/>
      <c r="J609" s="540"/>
    </row>
    <row r="610" spans="1:10" x14ac:dyDescent="0.25">
      <c r="A610" s="14"/>
      <c r="B610" s="42"/>
      <c r="C610" s="77"/>
      <c r="D610" s="176">
        <f t="shared" si="54"/>
        <v>9</v>
      </c>
      <c r="E610" s="197" t="s">
        <v>656</v>
      </c>
      <c r="F610" s="183">
        <f t="shared" si="53"/>
        <v>41.25</v>
      </c>
      <c r="G610" s="77">
        <v>53.49</v>
      </c>
      <c r="H610" s="77"/>
      <c r="I610" s="77"/>
      <c r="J610" s="540"/>
    </row>
    <row r="611" spans="1:10" x14ac:dyDescent="0.25">
      <c r="A611" s="432"/>
      <c r="B611" s="433"/>
      <c r="C611" s="434"/>
      <c r="D611" s="435">
        <f t="shared" si="54"/>
        <v>10</v>
      </c>
      <c r="E611" s="456" t="s">
        <v>657</v>
      </c>
      <c r="F611" s="453">
        <f t="shared" si="53"/>
        <v>53.49</v>
      </c>
      <c r="G611" s="434">
        <v>57.21</v>
      </c>
      <c r="H611" s="457" t="s">
        <v>657</v>
      </c>
      <c r="I611" s="434"/>
      <c r="J611" s="540"/>
    </row>
    <row r="612" spans="1:10" x14ac:dyDescent="0.25">
      <c r="A612" s="14"/>
      <c r="B612" s="42"/>
      <c r="C612" s="77"/>
      <c r="D612" s="175"/>
      <c r="E612" s="175"/>
      <c r="F612" s="175"/>
      <c r="G612" s="77"/>
      <c r="H612" s="77"/>
      <c r="I612" s="77"/>
      <c r="J612" s="540"/>
    </row>
    <row r="613" spans="1:10" x14ac:dyDescent="0.25">
      <c r="A613" s="14">
        <v>102</v>
      </c>
      <c r="B613" s="43">
        <v>44122</v>
      </c>
      <c r="C613" s="81" t="s">
        <v>663</v>
      </c>
      <c r="D613" s="176">
        <v>1</v>
      </c>
      <c r="E613" s="198" t="s">
        <v>658</v>
      </c>
      <c r="F613" s="175">
        <v>4.03</v>
      </c>
      <c r="G613" s="77">
        <v>15.53</v>
      </c>
      <c r="H613" s="77"/>
      <c r="I613" s="77" t="s">
        <v>664</v>
      </c>
      <c r="J613" s="540"/>
    </row>
    <row r="614" spans="1:10" x14ac:dyDescent="0.25">
      <c r="A614" s="14"/>
      <c r="B614" s="42"/>
      <c r="C614" s="77"/>
      <c r="D614" s="176">
        <f>+D613+1</f>
        <v>2</v>
      </c>
      <c r="E614" s="198" t="s">
        <v>659</v>
      </c>
      <c r="F614" s="175">
        <f>+G613</f>
        <v>15.53</v>
      </c>
      <c r="G614" s="77">
        <v>28.44</v>
      </c>
      <c r="H614" s="77"/>
      <c r="I614" s="77"/>
      <c r="J614" s="540"/>
    </row>
    <row r="615" spans="1:10" x14ac:dyDescent="0.25">
      <c r="A615" s="14"/>
      <c r="B615" s="42"/>
      <c r="C615" s="77"/>
      <c r="D615" s="176">
        <f>+D614+1</f>
        <v>3</v>
      </c>
      <c r="E615" s="198" t="s">
        <v>660</v>
      </c>
      <c r="F615" s="175">
        <f t="shared" ref="F615:F617" si="55">+G614</f>
        <v>28.44</v>
      </c>
      <c r="G615" s="77">
        <v>42.27</v>
      </c>
      <c r="H615" s="77"/>
      <c r="I615" s="77"/>
      <c r="J615" s="540"/>
    </row>
    <row r="616" spans="1:10" x14ac:dyDescent="0.25">
      <c r="A616" s="14"/>
      <c r="B616" s="42"/>
      <c r="C616" s="77"/>
      <c r="D616" s="176">
        <f>+D615+1</f>
        <v>4</v>
      </c>
      <c r="E616" s="198" t="s">
        <v>661</v>
      </c>
      <c r="F616" s="175">
        <f t="shared" si="55"/>
        <v>42.27</v>
      </c>
      <c r="G616" s="77">
        <v>57.16</v>
      </c>
      <c r="H616" s="77"/>
      <c r="I616" s="77"/>
      <c r="J616" s="540"/>
    </row>
    <row r="617" spans="1:10" x14ac:dyDescent="0.25">
      <c r="A617" s="432"/>
      <c r="B617" s="433"/>
      <c r="C617" s="434"/>
      <c r="D617" s="435">
        <f>+D616+1</f>
        <v>5</v>
      </c>
      <c r="E617" s="458" t="s">
        <v>662</v>
      </c>
      <c r="F617" s="438">
        <f t="shared" si="55"/>
        <v>57.16</v>
      </c>
      <c r="G617" s="459" t="s">
        <v>665</v>
      </c>
      <c r="H617" s="457" t="s">
        <v>662</v>
      </c>
      <c r="I617" s="434"/>
      <c r="J617" s="540" t="str">
        <f>HYPERLINK("https://www.youtube.com/watch?v=qCDb2EXiYGc", "https://www.youtube.com/watch?v=qCDb2EXiYGc")</f>
        <v>https://www.youtube.com/watch?v=qCDb2EXiYGc</v>
      </c>
    </row>
    <row r="618" spans="1:10" x14ac:dyDescent="0.25">
      <c r="A618" s="14"/>
      <c r="B618" s="42"/>
      <c r="C618" s="77"/>
      <c r="D618" s="175"/>
      <c r="E618" s="175"/>
      <c r="F618" s="175"/>
      <c r="G618" s="77"/>
      <c r="H618" s="77"/>
      <c r="I618" s="77"/>
      <c r="J618" s="540"/>
    </row>
    <row r="619" spans="1:10" x14ac:dyDescent="0.25">
      <c r="A619" s="14">
        <v>103</v>
      </c>
      <c r="B619" s="43">
        <v>44123</v>
      </c>
      <c r="C619" s="81">
        <v>57.31</v>
      </c>
      <c r="D619" s="176">
        <v>1</v>
      </c>
      <c r="E619" s="198" t="s">
        <v>666</v>
      </c>
      <c r="F619" s="175">
        <v>1.04</v>
      </c>
      <c r="G619" s="77">
        <v>15.51</v>
      </c>
      <c r="H619" s="77"/>
      <c r="I619" s="77" t="s">
        <v>671</v>
      </c>
      <c r="J619" s="540"/>
    </row>
    <row r="620" spans="1:10" x14ac:dyDescent="0.25">
      <c r="A620" s="14"/>
      <c r="B620" s="42"/>
      <c r="C620" s="77"/>
      <c r="D620" s="176">
        <f>+D619+1</f>
        <v>2</v>
      </c>
      <c r="E620" s="198" t="s">
        <v>667</v>
      </c>
      <c r="F620" s="175">
        <f>+G619</f>
        <v>15.51</v>
      </c>
      <c r="G620" s="77">
        <v>25.56</v>
      </c>
      <c r="H620" s="77"/>
      <c r="I620" s="77"/>
      <c r="J620" s="540"/>
    </row>
    <row r="621" spans="1:10" x14ac:dyDescent="0.25">
      <c r="A621" s="14"/>
      <c r="B621" s="42"/>
      <c r="C621" s="77"/>
      <c r="D621" s="176">
        <f>+D620+1</f>
        <v>3</v>
      </c>
      <c r="E621" s="198" t="s">
        <v>668</v>
      </c>
      <c r="F621" s="175">
        <f t="shared" ref="F621:F631" si="56">+G620</f>
        <v>25.56</v>
      </c>
      <c r="G621" s="77">
        <v>35.32</v>
      </c>
      <c r="H621" s="77"/>
      <c r="I621" s="77"/>
      <c r="J621" s="540"/>
    </row>
    <row r="622" spans="1:10" x14ac:dyDescent="0.25">
      <c r="A622" s="14"/>
      <c r="B622" s="42"/>
      <c r="C622" s="77"/>
      <c r="D622" s="176">
        <f>+D621+1</f>
        <v>4</v>
      </c>
      <c r="E622" s="198" t="s">
        <v>669</v>
      </c>
      <c r="F622" s="175">
        <f t="shared" si="56"/>
        <v>35.32</v>
      </c>
      <c r="G622" s="77">
        <v>37.53</v>
      </c>
      <c r="H622" s="77"/>
      <c r="I622" s="77"/>
      <c r="J622" s="540"/>
    </row>
    <row r="623" spans="1:10" x14ac:dyDescent="0.25">
      <c r="A623" s="14"/>
      <c r="B623" s="42"/>
      <c r="C623" s="77"/>
      <c r="D623" s="176">
        <f>+D622+1</f>
        <v>5</v>
      </c>
      <c r="E623" s="198" t="s">
        <v>670</v>
      </c>
      <c r="F623" s="175">
        <f t="shared" si="56"/>
        <v>37.53</v>
      </c>
      <c r="G623" s="77">
        <v>40.15</v>
      </c>
      <c r="H623" s="77"/>
      <c r="I623" s="77"/>
      <c r="J623" s="540" t="str">
        <f>HYPERLINK("https://www.youtube.com/watch?v=1U2LD_xdS2c", "https://www.youtube.com/watch?v=1U2LD_xdS2c")</f>
        <v>https://www.youtube.com/watch?v=1U2LD_xdS2c</v>
      </c>
    </row>
    <row r="624" spans="1:10" x14ac:dyDescent="0.25">
      <c r="A624" s="14"/>
      <c r="B624" s="42"/>
      <c r="C624" s="77"/>
      <c r="D624" s="176">
        <f t="shared" ref="D624:D631" si="57">+D623+1</f>
        <v>6</v>
      </c>
      <c r="E624" s="199" t="s">
        <v>672</v>
      </c>
      <c r="F624" s="175">
        <f t="shared" si="56"/>
        <v>40.15</v>
      </c>
      <c r="G624" s="77">
        <v>43.09</v>
      </c>
      <c r="H624" s="77"/>
      <c r="I624" s="77"/>
      <c r="J624" s="540"/>
    </row>
    <row r="625" spans="1:10" x14ac:dyDescent="0.25">
      <c r="A625" s="14"/>
      <c r="B625" s="42"/>
      <c r="C625" s="77"/>
      <c r="D625" s="176">
        <f t="shared" si="57"/>
        <v>7</v>
      </c>
      <c r="E625" s="199" t="s">
        <v>673</v>
      </c>
      <c r="F625" s="175">
        <f t="shared" si="56"/>
        <v>43.09</v>
      </c>
      <c r="G625" s="77">
        <v>45.56</v>
      </c>
      <c r="H625" s="77"/>
      <c r="I625" s="77"/>
      <c r="J625" s="540"/>
    </row>
    <row r="626" spans="1:10" x14ac:dyDescent="0.25">
      <c r="A626" s="14"/>
      <c r="B626" s="42"/>
      <c r="C626" s="77"/>
      <c r="D626" s="176">
        <f t="shared" si="57"/>
        <v>8</v>
      </c>
      <c r="E626" s="199" t="s">
        <v>674</v>
      </c>
      <c r="F626" s="175">
        <f t="shared" si="56"/>
        <v>45.56</v>
      </c>
      <c r="G626" s="77">
        <v>47.31</v>
      </c>
      <c r="H626" s="77"/>
      <c r="I626" s="77"/>
      <c r="J626" s="540"/>
    </row>
    <row r="627" spans="1:10" x14ac:dyDescent="0.25">
      <c r="A627" s="14"/>
      <c r="B627" s="42"/>
      <c r="C627" s="77"/>
      <c r="D627" s="176">
        <f t="shared" si="57"/>
        <v>9</v>
      </c>
      <c r="E627" s="199" t="s">
        <v>675</v>
      </c>
      <c r="F627" s="175">
        <f t="shared" si="56"/>
        <v>47.31</v>
      </c>
      <c r="G627" s="77">
        <v>49.15</v>
      </c>
      <c r="H627" s="77"/>
      <c r="I627" s="77"/>
      <c r="J627" s="540"/>
    </row>
    <row r="628" spans="1:10" x14ac:dyDescent="0.25">
      <c r="A628" s="14"/>
      <c r="B628" s="42"/>
      <c r="C628" s="77"/>
      <c r="D628" s="176">
        <f t="shared" si="57"/>
        <v>10</v>
      </c>
      <c r="E628" s="199" t="s">
        <v>676</v>
      </c>
      <c r="F628" s="175">
        <f t="shared" si="56"/>
        <v>49.15</v>
      </c>
      <c r="G628" s="77">
        <v>51.04</v>
      </c>
      <c r="H628" s="77"/>
      <c r="I628" s="77"/>
      <c r="J628" s="540"/>
    </row>
    <row r="629" spans="1:10" x14ac:dyDescent="0.25">
      <c r="A629" s="14"/>
      <c r="B629" s="42"/>
      <c r="C629" s="77"/>
      <c r="D629" s="176">
        <f t="shared" si="57"/>
        <v>11</v>
      </c>
      <c r="E629" s="199" t="s">
        <v>677</v>
      </c>
      <c r="F629" s="175">
        <f t="shared" si="56"/>
        <v>51.04</v>
      </c>
      <c r="G629" s="77">
        <v>52.33</v>
      </c>
      <c r="H629" s="77"/>
      <c r="I629" s="77"/>
      <c r="J629" s="540"/>
    </row>
    <row r="630" spans="1:10" x14ac:dyDescent="0.25">
      <c r="A630" s="14"/>
      <c r="B630" s="42"/>
      <c r="C630" s="77"/>
      <c r="D630" s="176">
        <f t="shared" si="57"/>
        <v>12</v>
      </c>
      <c r="E630" s="199" t="s">
        <v>678</v>
      </c>
      <c r="F630" s="175">
        <f t="shared" si="56"/>
        <v>52.33</v>
      </c>
      <c r="G630" s="77">
        <v>53.57</v>
      </c>
      <c r="H630" s="77"/>
      <c r="I630" s="77"/>
      <c r="J630" s="540"/>
    </row>
    <row r="631" spans="1:10" x14ac:dyDescent="0.25">
      <c r="A631" s="432"/>
      <c r="B631" s="433"/>
      <c r="C631" s="434"/>
      <c r="D631" s="435">
        <f t="shared" si="57"/>
        <v>13</v>
      </c>
      <c r="E631" s="460" t="s">
        <v>679</v>
      </c>
      <c r="F631" s="438">
        <f t="shared" si="56"/>
        <v>53.57</v>
      </c>
      <c r="G631" s="434">
        <v>55.55</v>
      </c>
      <c r="H631" s="434"/>
      <c r="I631" s="434"/>
      <c r="J631" s="540"/>
    </row>
    <row r="632" spans="1:10" x14ac:dyDescent="0.25">
      <c r="A632" s="14"/>
      <c r="B632" s="42"/>
      <c r="C632" s="77"/>
      <c r="D632" s="176"/>
      <c r="E632" s="199"/>
      <c r="F632" s="175"/>
      <c r="G632" s="200"/>
      <c r="H632" s="77"/>
      <c r="I632" s="77"/>
      <c r="J632" s="540"/>
    </row>
    <row r="633" spans="1:10" x14ac:dyDescent="0.25">
      <c r="A633" s="14">
        <v>104</v>
      </c>
      <c r="B633" s="43">
        <v>44124</v>
      </c>
      <c r="C633" s="82" t="s">
        <v>687</v>
      </c>
      <c r="D633" s="176">
        <v>1</v>
      </c>
      <c r="E633" s="199" t="s">
        <v>680</v>
      </c>
      <c r="F633" s="175">
        <v>2.42</v>
      </c>
      <c r="G633" s="77">
        <v>6.38</v>
      </c>
      <c r="H633" s="77"/>
      <c r="I633" s="77" t="s">
        <v>688</v>
      </c>
      <c r="J633" s="540"/>
    </row>
    <row r="634" spans="1:10" x14ac:dyDescent="0.25">
      <c r="A634" s="14"/>
      <c r="B634" s="42"/>
      <c r="C634" s="77"/>
      <c r="D634" s="176">
        <f>+D633+1</f>
        <v>2</v>
      </c>
      <c r="E634" s="199" t="s">
        <v>681</v>
      </c>
      <c r="F634" s="183">
        <f>+G633</f>
        <v>6.38</v>
      </c>
      <c r="G634" s="79">
        <v>8.4</v>
      </c>
      <c r="H634" s="77"/>
      <c r="I634" s="77"/>
      <c r="J634" s="540"/>
    </row>
    <row r="635" spans="1:10" x14ac:dyDescent="0.25">
      <c r="A635" s="14"/>
      <c r="B635" s="42"/>
      <c r="C635" s="77"/>
      <c r="D635" s="176">
        <f>+D634+1</f>
        <v>3</v>
      </c>
      <c r="E635" s="199" t="s">
        <v>682</v>
      </c>
      <c r="F635" s="183">
        <f t="shared" ref="F635:F639" si="58">+G634</f>
        <v>8.4</v>
      </c>
      <c r="G635" s="79">
        <v>10.29</v>
      </c>
      <c r="H635" s="77"/>
      <c r="I635" s="77"/>
      <c r="J635" s="540"/>
    </row>
    <row r="636" spans="1:10" x14ac:dyDescent="0.25">
      <c r="A636" s="14"/>
      <c r="B636" s="42"/>
      <c r="C636" s="77"/>
      <c r="D636" s="176">
        <f t="shared" ref="D636:D639" si="59">+D635+1</f>
        <v>4</v>
      </c>
      <c r="E636" s="199" t="s">
        <v>683</v>
      </c>
      <c r="F636" s="183">
        <f t="shared" si="58"/>
        <v>10.29</v>
      </c>
      <c r="G636" s="79">
        <v>21.24</v>
      </c>
      <c r="H636" s="77"/>
      <c r="I636" s="77"/>
      <c r="J636" s="540"/>
    </row>
    <row r="637" spans="1:10" x14ac:dyDescent="0.25">
      <c r="A637" s="14"/>
      <c r="B637" s="42"/>
      <c r="C637" s="77"/>
      <c r="D637" s="176">
        <f t="shared" si="59"/>
        <v>5</v>
      </c>
      <c r="E637" s="199" t="s">
        <v>684</v>
      </c>
      <c r="F637" s="183">
        <f t="shared" si="58"/>
        <v>21.24</v>
      </c>
      <c r="G637" s="79">
        <v>41.07</v>
      </c>
      <c r="H637" s="77"/>
      <c r="I637" s="77"/>
      <c r="J637" s="540" t="str">
        <f>HYPERLINK("https://www.youtube.com/watch?v=TO2PL6VXzB8", "https://www.youtube.com/watch?v=TO2PL6VXzB8")</f>
        <v>https://www.youtube.com/watch?v=TO2PL6VXzB8</v>
      </c>
    </row>
    <row r="638" spans="1:10" x14ac:dyDescent="0.25">
      <c r="A638" s="14"/>
      <c r="B638" s="42"/>
      <c r="C638" s="77"/>
      <c r="D638" s="176">
        <f t="shared" si="59"/>
        <v>6</v>
      </c>
      <c r="E638" s="199" t="s">
        <v>685</v>
      </c>
      <c r="F638" s="183">
        <f t="shared" si="58"/>
        <v>41.07</v>
      </c>
      <c r="G638" s="79">
        <v>54.04</v>
      </c>
      <c r="H638" s="77"/>
      <c r="I638" s="77"/>
      <c r="J638" s="540"/>
    </row>
    <row r="639" spans="1:10" x14ac:dyDescent="0.25">
      <c r="A639" s="432"/>
      <c r="B639" s="433"/>
      <c r="C639" s="434"/>
      <c r="D639" s="435">
        <f t="shared" si="59"/>
        <v>7</v>
      </c>
      <c r="E639" s="460" t="s">
        <v>686</v>
      </c>
      <c r="F639" s="453">
        <f t="shared" si="58"/>
        <v>54.04</v>
      </c>
      <c r="G639" s="461" t="s">
        <v>689</v>
      </c>
      <c r="H639" s="462" t="s">
        <v>690</v>
      </c>
      <c r="I639" s="434"/>
      <c r="J639" s="540"/>
    </row>
    <row r="640" spans="1:10" x14ac:dyDescent="0.25">
      <c r="A640" s="14"/>
      <c r="B640" s="42"/>
      <c r="C640" s="77"/>
      <c r="D640" s="175"/>
      <c r="E640" s="175"/>
      <c r="F640" s="175"/>
      <c r="G640" s="77"/>
      <c r="H640" s="77"/>
      <c r="I640" s="77"/>
      <c r="J640" s="540"/>
    </row>
    <row r="641" spans="1:10" x14ac:dyDescent="0.25">
      <c r="A641" s="14">
        <v>105</v>
      </c>
      <c r="B641" s="43">
        <v>44125</v>
      </c>
      <c r="C641" s="77">
        <v>56.19</v>
      </c>
      <c r="D641" s="176">
        <v>1</v>
      </c>
      <c r="E641" s="201" t="s">
        <v>691</v>
      </c>
      <c r="F641" s="175">
        <v>2.42</v>
      </c>
      <c r="G641" s="77">
        <v>9.1199999999999992</v>
      </c>
      <c r="H641" s="77"/>
      <c r="I641" s="77" t="s">
        <v>696</v>
      </c>
      <c r="J641" s="540"/>
    </row>
    <row r="642" spans="1:10" x14ac:dyDescent="0.25">
      <c r="A642" s="14"/>
      <c r="B642" s="42"/>
      <c r="C642" s="77"/>
      <c r="D642" s="176">
        <f>+D641+1</f>
        <v>2</v>
      </c>
      <c r="E642" s="201" t="s">
        <v>692</v>
      </c>
      <c r="F642" s="183">
        <f>+G641</f>
        <v>9.1199999999999992</v>
      </c>
      <c r="G642" s="79">
        <v>24.3</v>
      </c>
      <c r="H642" s="77"/>
      <c r="I642" s="77"/>
      <c r="J642" s="540"/>
    </row>
    <row r="643" spans="1:10" x14ac:dyDescent="0.25">
      <c r="A643" s="14"/>
      <c r="B643" s="42"/>
      <c r="C643" s="77"/>
      <c r="D643" s="176">
        <f>+D642+1</f>
        <v>3</v>
      </c>
      <c r="E643" s="201" t="s">
        <v>693</v>
      </c>
      <c r="F643" s="183">
        <f t="shared" ref="F643:F645" si="60">+G642</f>
        <v>24.3</v>
      </c>
      <c r="G643" s="79">
        <v>39.25</v>
      </c>
      <c r="H643" s="77"/>
      <c r="I643" s="77"/>
      <c r="J643" s="540"/>
    </row>
    <row r="644" spans="1:10" x14ac:dyDescent="0.25">
      <c r="A644" s="14"/>
      <c r="B644" s="42"/>
      <c r="C644" s="77"/>
      <c r="D644" s="176">
        <f t="shared" ref="D644:D645" si="61">+D643+1</f>
        <v>4</v>
      </c>
      <c r="E644" s="201" t="s">
        <v>694</v>
      </c>
      <c r="F644" s="183">
        <f t="shared" si="60"/>
        <v>39.25</v>
      </c>
      <c r="G644" s="79">
        <v>47.32</v>
      </c>
      <c r="H644" s="77"/>
      <c r="I644" s="77"/>
      <c r="J644" s="540"/>
    </row>
    <row r="645" spans="1:10" x14ac:dyDescent="0.25">
      <c r="A645" s="432"/>
      <c r="B645" s="433"/>
      <c r="C645" s="434"/>
      <c r="D645" s="435">
        <f t="shared" si="61"/>
        <v>5</v>
      </c>
      <c r="E645" s="463" t="s">
        <v>695</v>
      </c>
      <c r="F645" s="453">
        <f t="shared" si="60"/>
        <v>47.32</v>
      </c>
      <c r="G645" s="436">
        <v>55.42</v>
      </c>
      <c r="H645" s="434"/>
      <c r="I645" s="434"/>
      <c r="J645" s="540" t="str">
        <f>HYPERLINK("https://www.youtube.com/watch?v=6oV4tR-bOu8", "https://www.youtube.com/watch?v=6oV4tR-bOu8")</f>
        <v>https://www.youtube.com/watch?v=6oV4tR-bOu8</v>
      </c>
    </row>
    <row r="646" spans="1:10" x14ac:dyDescent="0.25">
      <c r="A646" s="14"/>
      <c r="B646" s="42"/>
      <c r="C646" s="77"/>
      <c r="D646" s="175"/>
      <c r="E646" s="175"/>
      <c r="F646" s="175"/>
      <c r="G646" s="77"/>
      <c r="H646" s="77"/>
      <c r="I646" s="77"/>
      <c r="J646" s="540"/>
    </row>
    <row r="647" spans="1:10" x14ac:dyDescent="0.25">
      <c r="A647" s="14">
        <v>105</v>
      </c>
      <c r="B647" s="43">
        <v>44126</v>
      </c>
      <c r="C647" s="77">
        <v>59.26</v>
      </c>
      <c r="D647" s="176">
        <v>1</v>
      </c>
      <c r="E647" s="202" t="s">
        <v>697</v>
      </c>
      <c r="F647" s="183">
        <v>5.2</v>
      </c>
      <c r="G647" s="79">
        <v>18.28</v>
      </c>
      <c r="H647" s="77"/>
      <c r="I647" s="77" t="s">
        <v>715</v>
      </c>
      <c r="J647" s="540"/>
    </row>
    <row r="648" spans="1:10" x14ac:dyDescent="0.25">
      <c r="A648" s="14"/>
      <c r="B648" s="42"/>
      <c r="C648" s="77"/>
      <c r="D648" s="176">
        <f>+D647+1</f>
        <v>2</v>
      </c>
      <c r="E648" s="202" t="s">
        <v>698</v>
      </c>
      <c r="F648" s="183">
        <f>+G647</f>
        <v>18.28</v>
      </c>
      <c r="G648" s="79">
        <v>27.11</v>
      </c>
      <c r="H648" s="77"/>
      <c r="I648" s="77"/>
      <c r="J648" s="540"/>
    </row>
    <row r="649" spans="1:10" x14ac:dyDescent="0.25">
      <c r="A649" s="14"/>
      <c r="B649" s="42"/>
      <c r="C649" s="77"/>
      <c r="D649" s="176">
        <f>+D648+1</f>
        <v>3</v>
      </c>
      <c r="E649" s="202" t="s">
        <v>699</v>
      </c>
      <c r="F649" s="183">
        <f t="shared" ref="F649:F664" si="62">+G648</f>
        <v>27.11</v>
      </c>
      <c r="G649" s="79">
        <v>29.12</v>
      </c>
      <c r="H649" s="77"/>
      <c r="I649" s="77"/>
      <c r="J649" s="540"/>
    </row>
    <row r="650" spans="1:10" x14ac:dyDescent="0.25">
      <c r="A650" s="14"/>
      <c r="B650" s="42"/>
      <c r="C650" s="77"/>
      <c r="D650" s="176">
        <f t="shared" ref="D650:D664" si="63">+D649+1</f>
        <v>4</v>
      </c>
      <c r="E650" s="202" t="s">
        <v>700</v>
      </c>
      <c r="F650" s="183">
        <f t="shared" si="62"/>
        <v>29.12</v>
      </c>
      <c r="G650" s="79">
        <v>31.35</v>
      </c>
      <c r="H650" s="77"/>
      <c r="I650" s="77"/>
      <c r="J650" s="540"/>
    </row>
    <row r="651" spans="1:10" x14ac:dyDescent="0.25">
      <c r="A651" s="14"/>
      <c r="B651" s="42"/>
      <c r="C651" s="77"/>
      <c r="D651" s="176">
        <f t="shared" si="63"/>
        <v>5</v>
      </c>
      <c r="E651" s="202" t="s">
        <v>701</v>
      </c>
      <c r="F651" s="183">
        <f t="shared" si="62"/>
        <v>31.35</v>
      </c>
      <c r="G651" s="79">
        <v>33.43</v>
      </c>
      <c r="H651" s="77"/>
      <c r="I651" s="77"/>
      <c r="J651" s="540" t="str">
        <f>HYPERLINK("https://www.youtube.com/watch?v=nJJEA5vCDh0", "https://www.youtube.com/watch?v=nJJEA5vCDh0")</f>
        <v>https://www.youtube.com/watch?v=nJJEA5vCDh0</v>
      </c>
    </row>
    <row r="652" spans="1:10" x14ac:dyDescent="0.25">
      <c r="A652" s="14"/>
      <c r="B652" s="42"/>
      <c r="C652" s="77"/>
      <c r="D652" s="176">
        <f t="shared" si="63"/>
        <v>6</v>
      </c>
      <c r="E652" s="202" t="s">
        <v>702</v>
      </c>
      <c r="F652" s="183">
        <f t="shared" si="62"/>
        <v>33.43</v>
      </c>
      <c r="G652" s="79">
        <v>35.33</v>
      </c>
      <c r="H652" s="77"/>
      <c r="I652" s="77"/>
    </row>
    <row r="653" spans="1:10" x14ac:dyDescent="0.25">
      <c r="A653" s="14"/>
      <c r="B653" s="42"/>
      <c r="C653" s="77"/>
      <c r="D653" s="176">
        <f t="shared" si="63"/>
        <v>7</v>
      </c>
      <c r="E653" s="202" t="s">
        <v>703</v>
      </c>
      <c r="F653" s="183">
        <f t="shared" si="62"/>
        <v>35.33</v>
      </c>
      <c r="G653" s="79">
        <v>38.1</v>
      </c>
      <c r="H653" s="77"/>
      <c r="I653" s="77"/>
    </row>
    <row r="654" spans="1:10" x14ac:dyDescent="0.25">
      <c r="A654" s="14"/>
      <c r="B654" s="42"/>
      <c r="C654" s="77"/>
      <c r="D654" s="176">
        <f t="shared" si="63"/>
        <v>8</v>
      </c>
      <c r="E654" s="202" t="s">
        <v>704</v>
      </c>
      <c r="F654" s="183">
        <f t="shared" si="62"/>
        <v>38.1</v>
      </c>
      <c r="G654" s="79">
        <v>39.58</v>
      </c>
      <c r="H654" s="77"/>
      <c r="I654" s="77"/>
    </row>
    <row r="655" spans="1:10" x14ac:dyDescent="0.25">
      <c r="A655" s="14"/>
      <c r="B655" s="42"/>
      <c r="C655" s="77"/>
      <c r="D655" s="176">
        <f t="shared" si="63"/>
        <v>9</v>
      </c>
      <c r="E655" s="202" t="s">
        <v>705</v>
      </c>
      <c r="F655" s="183">
        <f t="shared" si="62"/>
        <v>39.58</v>
      </c>
      <c r="G655" s="79">
        <v>41.53</v>
      </c>
      <c r="H655" s="77"/>
      <c r="I655" s="77"/>
    </row>
    <row r="656" spans="1:10" x14ac:dyDescent="0.25">
      <c r="A656" s="14"/>
      <c r="B656" s="42"/>
      <c r="C656" s="77"/>
      <c r="D656" s="176">
        <f t="shared" si="63"/>
        <v>10</v>
      </c>
      <c r="E656" s="202" t="s">
        <v>706</v>
      </c>
      <c r="F656" s="183">
        <f t="shared" si="62"/>
        <v>41.53</v>
      </c>
      <c r="G656" s="79">
        <v>43.4</v>
      </c>
      <c r="H656" s="77"/>
      <c r="I656" s="77"/>
    </row>
    <row r="657" spans="1:10" x14ac:dyDescent="0.25">
      <c r="A657" s="14"/>
      <c r="B657" s="42"/>
      <c r="C657" s="77"/>
      <c r="D657" s="176">
        <f t="shared" si="63"/>
        <v>11</v>
      </c>
      <c r="E657" s="203" t="s">
        <v>707</v>
      </c>
      <c r="F657" s="183">
        <f t="shared" si="62"/>
        <v>43.4</v>
      </c>
      <c r="G657" s="79">
        <v>45.38</v>
      </c>
      <c r="H657" s="77"/>
      <c r="I657" s="77"/>
    </row>
    <row r="658" spans="1:10" x14ac:dyDescent="0.25">
      <c r="A658" s="14"/>
      <c r="B658" s="42"/>
      <c r="C658" s="77"/>
      <c r="D658" s="176">
        <f t="shared" si="63"/>
        <v>12</v>
      </c>
      <c r="E658" s="203" t="s">
        <v>708</v>
      </c>
      <c r="F658" s="183">
        <f t="shared" si="62"/>
        <v>45.38</v>
      </c>
      <c r="G658" s="79">
        <v>47.4</v>
      </c>
      <c r="H658" s="77"/>
      <c r="I658" s="77"/>
    </row>
    <row r="659" spans="1:10" x14ac:dyDescent="0.25">
      <c r="A659" s="14"/>
      <c r="B659" s="42"/>
      <c r="C659" s="77"/>
      <c r="D659" s="176">
        <f t="shared" si="63"/>
        <v>13</v>
      </c>
      <c r="E659" s="203" t="s">
        <v>709</v>
      </c>
      <c r="F659" s="183">
        <f t="shared" si="62"/>
        <v>47.4</v>
      </c>
      <c r="G659" s="77">
        <v>49.47</v>
      </c>
      <c r="H659" s="77"/>
      <c r="I659" s="77"/>
    </row>
    <row r="660" spans="1:10" x14ac:dyDescent="0.25">
      <c r="A660" s="14"/>
      <c r="B660" s="42"/>
      <c r="C660" s="77"/>
      <c r="D660" s="176">
        <f t="shared" si="63"/>
        <v>14</v>
      </c>
      <c r="E660" s="203" t="s">
        <v>710</v>
      </c>
      <c r="F660" s="183">
        <f t="shared" si="62"/>
        <v>49.47</v>
      </c>
      <c r="G660" s="79">
        <v>51.45</v>
      </c>
      <c r="H660" s="77"/>
      <c r="I660" s="77"/>
    </row>
    <row r="661" spans="1:10" x14ac:dyDescent="0.25">
      <c r="A661" s="14"/>
      <c r="B661" s="42"/>
      <c r="C661" s="77"/>
      <c r="D661" s="176">
        <f t="shared" si="63"/>
        <v>15</v>
      </c>
      <c r="E661" s="203" t="s">
        <v>711</v>
      </c>
      <c r="F661" s="183">
        <f t="shared" si="62"/>
        <v>51.45</v>
      </c>
      <c r="G661" s="77">
        <v>53.48</v>
      </c>
      <c r="H661" s="77"/>
      <c r="I661" s="77"/>
    </row>
    <row r="662" spans="1:10" x14ac:dyDescent="0.25">
      <c r="A662" s="14"/>
      <c r="B662" s="42"/>
      <c r="C662" s="77"/>
      <c r="D662" s="176">
        <f t="shared" si="63"/>
        <v>16</v>
      </c>
      <c r="E662" s="203" t="s">
        <v>712</v>
      </c>
      <c r="F662" s="183">
        <f t="shared" si="62"/>
        <v>53.48</v>
      </c>
      <c r="G662" s="77">
        <v>54.45</v>
      </c>
      <c r="H662" s="77"/>
      <c r="I662" s="77"/>
    </row>
    <row r="663" spans="1:10" x14ac:dyDescent="0.25">
      <c r="A663" s="14"/>
      <c r="B663" s="42"/>
      <c r="C663" s="77"/>
      <c r="D663" s="176">
        <f t="shared" si="63"/>
        <v>17</v>
      </c>
      <c r="E663" s="203" t="s">
        <v>713</v>
      </c>
      <c r="F663" s="183">
        <f t="shared" si="62"/>
        <v>54.45</v>
      </c>
      <c r="G663" s="77">
        <v>56.15</v>
      </c>
      <c r="H663" s="77"/>
      <c r="I663" s="77"/>
    </row>
    <row r="664" spans="1:10" x14ac:dyDescent="0.25">
      <c r="A664" s="432"/>
      <c r="B664" s="433"/>
      <c r="C664" s="434"/>
      <c r="D664" s="435">
        <f t="shared" si="63"/>
        <v>18</v>
      </c>
      <c r="E664" s="464" t="s">
        <v>714</v>
      </c>
      <c r="F664" s="453">
        <f t="shared" si="62"/>
        <v>56.15</v>
      </c>
      <c r="G664" s="434">
        <v>58.49</v>
      </c>
      <c r="H664" s="434"/>
      <c r="I664" s="434"/>
    </row>
    <row r="665" spans="1:10" x14ac:dyDescent="0.25">
      <c r="A665" s="7"/>
      <c r="B665" s="9"/>
      <c r="C665" s="59"/>
      <c r="G665" s="139"/>
      <c r="H665" s="59"/>
      <c r="I665" s="59"/>
    </row>
    <row r="666" spans="1:10" x14ac:dyDescent="0.25">
      <c r="A666" s="15">
        <v>107</v>
      </c>
      <c r="B666" s="44">
        <v>44127</v>
      </c>
      <c r="C666" s="83">
        <v>53.14</v>
      </c>
      <c r="D666" s="204">
        <v>1</v>
      </c>
      <c r="E666" s="203" t="s">
        <v>716</v>
      </c>
      <c r="F666" s="205">
        <v>2.1</v>
      </c>
      <c r="G666" s="206">
        <v>28.48</v>
      </c>
      <c r="H666" s="83"/>
      <c r="I666" s="83" t="s">
        <v>718</v>
      </c>
      <c r="J666" s="533" t="s">
        <v>718</v>
      </c>
    </row>
    <row r="667" spans="1:10" x14ac:dyDescent="0.25">
      <c r="A667" s="15"/>
      <c r="B667" s="45"/>
      <c r="C667" s="83"/>
      <c r="D667" s="204">
        <f>+D666+1</f>
        <v>2</v>
      </c>
      <c r="E667" s="203" t="s">
        <v>717</v>
      </c>
      <c r="F667" s="205">
        <f>+G666</f>
        <v>28.48</v>
      </c>
      <c r="G667" s="206">
        <v>49.26</v>
      </c>
      <c r="H667" s="83"/>
      <c r="I667" s="83"/>
      <c r="J667" s="530"/>
    </row>
    <row r="668" spans="1:10" x14ac:dyDescent="0.25">
      <c r="A668" s="15"/>
      <c r="B668" s="45"/>
      <c r="C668" s="83"/>
      <c r="D668" s="204">
        <f>+D667+1</f>
        <v>3</v>
      </c>
      <c r="E668" s="207" t="s">
        <v>719</v>
      </c>
      <c r="F668" s="205">
        <f>+G667</f>
        <v>49.26</v>
      </c>
      <c r="G668" s="206">
        <v>52.3</v>
      </c>
      <c r="H668" s="285" t="s">
        <v>719</v>
      </c>
      <c r="I668" s="83"/>
      <c r="J668" s="530"/>
    </row>
    <row r="669" spans="1:10" x14ac:dyDescent="0.25">
      <c r="A669" s="465"/>
      <c r="B669" s="466"/>
      <c r="C669" s="467"/>
      <c r="D669" s="468"/>
      <c r="E669" s="464"/>
      <c r="F669" s="469"/>
      <c r="G669" s="470"/>
      <c r="H669" s="467"/>
      <c r="I669" s="467"/>
      <c r="J669" s="530"/>
    </row>
    <row r="670" spans="1:10" x14ac:dyDescent="0.25">
      <c r="A670" s="15">
        <v>108</v>
      </c>
      <c r="B670" s="44">
        <v>44128</v>
      </c>
      <c r="C670" s="83">
        <v>51.28</v>
      </c>
      <c r="D670" s="204">
        <v>1</v>
      </c>
      <c r="E670" s="208" t="s">
        <v>720</v>
      </c>
      <c r="F670" s="205">
        <v>4.08</v>
      </c>
      <c r="G670" s="206">
        <v>28</v>
      </c>
      <c r="H670" s="83"/>
      <c r="I670" s="83" t="s">
        <v>723</v>
      </c>
      <c r="J670" s="533" t="s">
        <v>723</v>
      </c>
    </row>
    <row r="671" spans="1:10" x14ac:dyDescent="0.25">
      <c r="A671" s="15"/>
      <c r="B671" s="45"/>
      <c r="C671" s="83"/>
      <c r="D671" s="204">
        <f>+D670+1</f>
        <v>2</v>
      </c>
      <c r="E671" s="208" t="s">
        <v>721</v>
      </c>
      <c r="F671" s="205">
        <f>+G670</f>
        <v>28</v>
      </c>
      <c r="G671" s="83">
        <v>49.5</v>
      </c>
      <c r="H671" s="285" t="s">
        <v>725</v>
      </c>
      <c r="I671" s="83"/>
      <c r="J671" s="530"/>
    </row>
    <row r="672" spans="1:10" x14ac:dyDescent="0.25">
      <c r="A672" s="465"/>
      <c r="B672" s="466"/>
      <c r="C672" s="467"/>
      <c r="D672" s="468"/>
      <c r="E672" s="471"/>
      <c r="F672" s="469"/>
      <c r="G672" s="467"/>
      <c r="H672" s="467"/>
      <c r="I672" s="467"/>
      <c r="J672" s="530"/>
    </row>
    <row r="673" spans="1:10" x14ac:dyDescent="0.25">
      <c r="A673" s="15">
        <v>109</v>
      </c>
      <c r="B673" s="44">
        <v>44129</v>
      </c>
      <c r="C673" s="83">
        <v>58.06</v>
      </c>
      <c r="D673" s="204">
        <v>1</v>
      </c>
      <c r="E673" s="208" t="s">
        <v>724</v>
      </c>
      <c r="F673" s="203">
        <v>2.46</v>
      </c>
      <c r="G673" s="83">
        <v>7.27</v>
      </c>
      <c r="H673" s="83"/>
      <c r="I673" s="83" t="s">
        <v>727</v>
      </c>
      <c r="J673" s="533" t="s">
        <v>727</v>
      </c>
    </row>
    <row r="674" spans="1:10" x14ac:dyDescent="0.25">
      <c r="A674" s="15"/>
      <c r="B674" s="45"/>
      <c r="C674" s="83"/>
      <c r="D674" s="204">
        <f>+D673+1</f>
        <v>2</v>
      </c>
      <c r="E674" s="208" t="s">
        <v>722</v>
      </c>
      <c r="F674" s="203">
        <f>+G673</f>
        <v>7.27</v>
      </c>
      <c r="G674" s="83">
        <v>24.39</v>
      </c>
      <c r="H674" s="83"/>
      <c r="I674" s="83"/>
      <c r="J674" s="530"/>
    </row>
    <row r="675" spans="1:10" x14ac:dyDescent="0.25">
      <c r="A675" s="15"/>
      <c r="B675" s="45"/>
      <c r="C675" s="83"/>
      <c r="D675" s="204">
        <f>+D674+1</f>
        <v>3</v>
      </c>
      <c r="E675" s="208" t="s">
        <v>726</v>
      </c>
      <c r="F675" s="203">
        <f>+G674</f>
        <v>24.39</v>
      </c>
      <c r="G675" s="83">
        <v>46.25</v>
      </c>
      <c r="H675" s="83"/>
      <c r="I675" s="83"/>
      <c r="J675" s="530"/>
    </row>
    <row r="676" spans="1:10" x14ac:dyDescent="0.25">
      <c r="A676" s="465"/>
      <c r="B676" s="466"/>
      <c r="C676" s="467"/>
      <c r="D676" s="468">
        <f>+D675+1</f>
        <v>4</v>
      </c>
      <c r="E676" s="472" t="s">
        <v>728</v>
      </c>
      <c r="F676" s="464">
        <f>+G675</f>
        <v>46.25</v>
      </c>
      <c r="G676" s="470">
        <v>57.3</v>
      </c>
      <c r="H676" s="473" t="s">
        <v>729</v>
      </c>
      <c r="I676" s="467"/>
      <c r="J676" s="530"/>
    </row>
    <row r="677" spans="1:10" x14ac:dyDescent="0.25">
      <c r="A677" s="15"/>
      <c r="B677" s="45"/>
      <c r="C677" s="83"/>
      <c r="D677" s="203"/>
      <c r="E677" s="203"/>
      <c r="F677" s="203"/>
      <c r="G677" s="83"/>
      <c r="H677" s="83"/>
      <c r="I677" s="83"/>
      <c r="J677" s="530"/>
    </row>
    <row r="678" spans="1:10" x14ac:dyDescent="0.25">
      <c r="A678" s="15">
        <v>110</v>
      </c>
      <c r="B678" s="44">
        <v>44130</v>
      </c>
      <c r="C678" s="83">
        <v>59.51</v>
      </c>
      <c r="D678" s="204">
        <v>1</v>
      </c>
      <c r="E678" s="209" t="s">
        <v>730</v>
      </c>
      <c r="F678" s="203">
        <v>4.57</v>
      </c>
      <c r="G678" s="83">
        <v>17.28</v>
      </c>
      <c r="H678" s="83"/>
      <c r="I678" s="83" t="s">
        <v>734</v>
      </c>
      <c r="J678" s="533" t="s">
        <v>734</v>
      </c>
    </row>
    <row r="679" spans="1:10" x14ac:dyDescent="0.25">
      <c r="A679" s="15"/>
      <c r="B679" s="45"/>
      <c r="C679" s="83"/>
      <c r="D679" s="204">
        <f>+D678+1</f>
        <v>2</v>
      </c>
      <c r="E679" s="209" t="s">
        <v>731</v>
      </c>
      <c r="F679" s="203">
        <f>+G678</f>
        <v>17.28</v>
      </c>
      <c r="G679" s="206">
        <v>35.1</v>
      </c>
      <c r="H679" s="83"/>
      <c r="I679" s="83"/>
      <c r="J679" s="530"/>
    </row>
    <row r="680" spans="1:10" x14ac:dyDescent="0.25">
      <c r="A680" s="15"/>
      <c r="B680" s="45"/>
      <c r="C680" s="83"/>
      <c r="D680" s="204">
        <f>+D679+1</f>
        <v>3</v>
      </c>
      <c r="E680" s="209" t="s">
        <v>732</v>
      </c>
      <c r="F680" s="205">
        <f>+G679</f>
        <v>35.1</v>
      </c>
      <c r="G680" s="206">
        <v>58.5</v>
      </c>
      <c r="H680" s="83"/>
      <c r="I680" s="83"/>
      <c r="J680" s="530"/>
    </row>
    <row r="681" spans="1:10" x14ac:dyDescent="0.25">
      <c r="A681" s="465"/>
      <c r="B681" s="466"/>
      <c r="C681" s="467"/>
      <c r="D681" s="468"/>
      <c r="E681" s="464"/>
      <c r="F681" s="464"/>
      <c r="G681" s="467"/>
      <c r="H681" s="467"/>
      <c r="I681" s="467"/>
      <c r="J681" s="530"/>
    </row>
    <row r="682" spans="1:10" x14ac:dyDescent="0.25">
      <c r="A682" s="15">
        <v>111</v>
      </c>
      <c r="B682" s="44">
        <v>44131</v>
      </c>
      <c r="C682" s="84" t="s">
        <v>738</v>
      </c>
      <c r="D682" s="204">
        <v>1</v>
      </c>
      <c r="E682" s="210" t="s">
        <v>735</v>
      </c>
      <c r="F682" s="205">
        <v>3.2</v>
      </c>
      <c r="G682" s="206">
        <v>19.18</v>
      </c>
      <c r="H682" s="83"/>
      <c r="I682" s="83" t="s">
        <v>739</v>
      </c>
      <c r="J682" s="533" t="s">
        <v>739</v>
      </c>
    </row>
    <row r="683" spans="1:10" x14ac:dyDescent="0.25">
      <c r="A683" s="15"/>
      <c r="B683" s="45"/>
      <c r="C683" s="83"/>
      <c r="D683" s="204">
        <f>+D682+1</f>
        <v>2</v>
      </c>
      <c r="E683" s="210" t="s">
        <v>736</v>
      </c>
      <c r="F683" s="205">
        <f>+G682</f>
        <v>19.18</v>
      </c>
      <c r="G683" s="83">
        <v>37.549999999999997</v>
      </c>
      <c r="H683" s="83"/>
      <c r="I683" s="83"/>
      <c r="J683" s="530"/>
    </row>
    <row r="684" spans="1:10" x14ac:dyDescent="0.25">
      <c r="A684" s="15"/>
      <c r="B684" s="45"/>
      <c r="C684" s="83"/>
      <c r="D684" s="204">
        <f>+D683+1</f>
        <v>3</v>
      </c>
      <c r="E684" s="210" t="s">
        <v>737</v>
      </c>
      <c r="F684" s="205">
        <f>+G683</f>
        <v>37.549999999999997</v>
      </c>
      <c r="G684" s="83">
        <v>59.35</v>
      </c>
      <c r="H684" s="83"/>
      <c r="I684" s="83"/>
      <c r="J684" s="530"/>
    </row>
    <row r="685" spans="1:10" x14ac:dyDescent="0.25">
      <c r="A685" s="465"/>
      <c r="B685" s="466"/>
      <c r="C685" s="467"/>
      <c r="D685" s="464"/>
      <c r="E685" s="464"/>
      <c r="F685" s="464"/>
      <c r="G685" s="467"/>
      <c r="H685" s="467"/>
      <c r="I685" s="467"/>
      <c r="J685" s="530"/>
    </row>
    <row r="686" spans="1:10" x14ac:dyDescent="0.25">
      <c r="A686" s="15">
        <v>112</v>
      </c>
      <c r="B686" s="44">
        <v>44132</v>
      </c>
      <c r="C686" s="83">
        <v>58.31</v>
      </c>
      <c r="D686" s="204">
        <v>1</v>
      </c>
      <c r="E686" s="211" t="s">
        <v>741</v>
      </c>
      <c r="F686" s="203">
        <v>3.03</v>
      </c>
      <c r="G686" s="83">
        <v>27.23</v>
      </c>
      <c r="H686" s="83"/>
      <c r="I686" s="83" t="s">
        <v>740</v>
      </c>
      <c r="J686" s="533" t="s">
        <v>740</v>
      </c>
    </row>
    <row r="687" spans="1:10" x14ac:dyDescent="0.25">
      <c r="A687" s="15"/>
      <c r="B687" s="45"/>
      <c r="C687" s="83"/>
      <c r="D687" s="204">
        <f>+D686+1</f>
        <v>2</v>
      </c>
      <c r="E687" s="211" t="s">
        <v>742</v>
      </c>
      <c r="F687" s="203">
        <f>+G686</f>
        <v>27.23</v>
      </c>
      <c r="G687" s="83">
        <v>45.43</v>
      </c>
      <c r="H687" s="83"/>
      <c r="I687" s="83"/>
      <c r="J687" s="530"/>
    </row>
    <row r="688" spans="1:10" x14ac:dyDescent="0.25">
      <c r="A688" s="15"/>
      <c r="B688" s="45"/>
      <c r="C688" s="83"/>
      <c r="D688" s="204">
        <f>+D687+1</f>
        <v>3</v>
      </c>
      <c r="E688" s="211" t="s">
        <v>743</v>
      </c>
      <c r="F688" s="203">
        <f>+G687</f>
        <v>45.43</v>
      </c>
      <c r="G688" s="83">
        <v>57.22</v>
      </c>
      <c r="H688" s="286" t="s">
        <v>744</v>
      </c>
      <c r="I688" s="83"/>
      <c r="J688" s="530"/>
    </row>
    <row r="689" spans="1:10" x14ac:dyDescent="0.25">
      <c r="A689" s="465"/>
      <c r="B689" s="466"/>
      <c r="C689" s="467"/>
      <c r="D689" s="464"/>
      <c r="E689" s="464"/>
      <c r="F689" s="464"/>
      <c r="G689" s="467"/>
      <c r="H689" s="467"/>
      <c r="I689" s="467"/>
      <c r="J689" s="530"/>
    </row>
    <row r="690" spans="1:10" x14ac:dyDescent="0.25">
      <c r="A690" s="15">
        <v>113</v>
      </c>
      <c r="B690" s="44">
        <v>44133</v>
      </c>
      <c r="C690" s="83">
        <v>59.15</v>
      </c>
      <c r="D690" s="204">
        <v>1</v>
      </c>
      <c r="E690" s="211" t="s">
        <v>745</v>
      </c>
      <c r="F690" s="203">
        <v>4.29</v>
      </c>
      <c r="G690" s="83">
        <v>9.0299999999999994</v>
      </c>
      <c r="H690" s="83"/>
      <c r="I690" s="83" t="s">
        <v>748</v>
      </c>
      <c r="J690" s="533" t="s">
        <v>748</v>
      </c>
    </row>
    <row r="691" spans="1:10" x14ac:dyDescent="0.25">
      <c r="A691" s="15"/>
      <c r="B691" s="45"/>
      <c r="C691" s="83"/>
      <c r="D691" s="204">
        <f>+D690+1</f>
        <v>2</v>
      </c>
      <c r="E691" s="211" t="s">
        <v>746</v>
      </c>
      <c r="F691" s="203">
        <f>+G690</f>
        <v>9.0299999999999994</v>
      </c>
      <c r="G691" s="83">
        <v>23.21</v>
      </c>
      <c r="H691" s="83"/>
      <c r="I691" s="83"/>
      <c r="J691" s="530"/>
    </row>
    <row r="692" spans="1:10" x14ac:dyDescent="0.25">
      <c r="A692" s="15"/>
      <c r="B692" s="45"/>
      <c r="C692" s="83"/>
      <c r="D692" s="204">
        <f>+D691+1</f>
        <v>3</v>
      </c>
      <c r="E692" s="211" t="s">
        <v>747</v>
      </c>
      <c r="F692" s="203">
        <f t="shared" ref="F692:F693" si="64">+G691</f>
        <v>23.21</v>
      </c>
      <c r="G692" s="83">
        <v>37.33</v>
      </c>
      <c r="H692" s="83"/>
      <c r="I692" s="83"/>
      <c r="J692" s="530"/>
    </row>
    <row r="693" spans="1:10" x14ac:dyDescent="0.25">
      <c r="A693" s="15"/>
      <c r="B693" s="45"/>
      <c r="C693" s="83"/>
      <c r="D693" s="204">
        <f>+D692+1</f>
        <v>4</v>
      </c>
      <c r="E693" s="212" t="s">
        <v>749</v>
      </c>
      <c r="F693" s="203">
        <f t="shared" si="64"/>
        <v>37.33</v>
      </c>
      <c r="G693" s="83">
        <v>50.36</v>
      </c>
      <c r="H693" s="83"/>
      <c r="I693" s="83"/>
      <c r="J693" s="530"/>
    </row>
    <row r="694" spans="1:10" x14ac:dyDescent="0.25">
      <c r="A694" s="15"/>
      <c r="B694" s="45"/>
      <c r="C694" s="83"/>
      <c r="D694" s="204">
        <f t="shared" ref="D694" si="65">+D693+1</f>
        <v>5</v>
      </c>
      <c r="E694" s="212" t="s">
        <v>750</v>
      </c>
      <c r="F694" s="203">
        <f>+G693</f>
        <v>50.36</v>
      </c>
      <c r="G694" s="83">
        <v>58.39</v>
      </c>
      <c r="H694" s="287" t="s">
        <v>752</v>
      </c>
      <c r="I694" s="83"/>
      <c r="J694" s="530"/>
    </row>
    <row r="695" spans="1:10" x14ac:dyDescent="0.25">
      <c r="A695" s="465"/>
      <c r="B695" s="466"/>
      <c r="C695" s="467"/>
      <c r="D695" s="468"/>
      <c r="E695" s="464"/>
      <c r="F695" s="464"/>
      <c r="G695" s="467"/>
      <c r="H695" s="467"/>
      <c r="I695" s="467"/>
      <c r="J695" s="530"/>
    </row>
    <row r="696" spans="1:10" x14ac:dyDescent="0.25">
      <c r="A696" s="15">
        <v>114</v>
      </c>
      <c r="B696" s="44">
        <v>44134</v>
      </c>
      <c r="C696" s="83">
        <v>45.48</v>
      </c>
      <c r="D696" s="204">
        <v>1</v>
      </c>
      <c r="E696" s="212" t="s">
        <v>751</v>
      </c>
      <c r="F696" s="203">
        <v>4.16</v>
      </c>
      <c r="G696" s="83">
        <v>13.19</v>
      </c>
      <c r="H696" s="83"/>
      <c r="I696" s="83" t="s">
        <v>757</v>
      </c>
      <c r="J696" s="533" t="s">
        <v>757</v>
      </c>
    </row>
    <row r="697" spans="1:10" x14ac:dyDescent="0.25">
      <c r="A697" s="15"/>
      <c r="B697" s="45"/>
      <c r="C697" s="83"/>
      <c r="D697" s="204">
        <f>+D696+1</f>
        <v>2</v>
      </c>
      <c r="E697" s="213" t="s">
        <v>754</v>
      </c>
      <c r="F697" s="203">
        <f>+G696</f>
        <v>13.19</v>
      </c>
      <c r="G697" s="83">
        <v>28.55</v>
      </c>
      <c r="H697" s="83"/>
      <c r="I697" s="83"/>
      <c r="J697" s="530"/>
    </row>
    <row r="698" spans="1:10" x14ac:dyDescent="0.25">
      <c r="A698" s="15"/>
      <c r="B698" s="45"/>
      <c r="C698" s="83"/>
      <c r="D698" s="204">
        <f>+D697+1</f>
        <v>3</v>
      </c>
      <c r="E698" s="213" t="s">
        <v>755</v>
      </c>
      <c r="F698" s="203">
        <f t="shared" ref="F698" si="66">+G697</f>
        <v>28.55</v>
      </c>
      <c r="G698" s="83">
        <v>44.45</v>
      </c>
      <c r="H698" s="288" t="s">
        <v>758</v>
      </c>
      <c r="I698" s="83"/>
      <c r="J698" s="530"/>
    </row>
    <row r="699" spans="1:10" x14ac:dyDescent="0.25">
      <c r="A699" s="465"/>
      <c r="B699" s="466"/>
      <c r="C699" s="467"/>
      <c r="D699" s="468"/>
      <c r="E699" s="474"/>
      <c r="F699" s="464"/>
      <c r="G699" s="467"/>
      <c r="H699" s="467"/>
      <c r="I699" s="467"/>
      <c r="J699" s="530"/>
    </row>
    <row r="700" spans="1:10" x14ac:dyDescent="0.25">
      <c r="A700" s="15">
        <v>115</v>
      </c>
      <c r="B700" s="44">
        <v>44135</v>
      </c>
      <c r="C700" s="85" t="s">
        <v>576</v>
      </c>
      <c r="D700" s="204">
        <v>1</v>
      </c>
      <c r="E700" s="214" t="s">
        <v>759</v>
      </c>
      <c r="F700" s="203">
        <v>1.01</v>
      </c>
      <c r="G700" s="83">
        <v>10.42</v>
      </c>
      <c r="H700" s="83"/>
      <c r="I700" s="83" t="s">
        <v>762</v>
      </c>
      <c r="J700" s="533" t="s">
        <v>762</v>
      </c>
    </row>
    <row r="701" spans="1:10" x14ac:dyDescent="0.25">
      <c r="A701" s="15"/>
      <c r="B701" s="45"/>
      <c r="C701" s="83"/>
      <c r="D701" s="204">
        <f>+D700+1</f>
        <v>2</v>
      </c>
      <c r="E701" s="214" t="s">
        <v>756</v>
      </c>
      <c r="F701" s="203">
        <f>+G700</f>
        <v>10.42</v>
      </c>
      <c r="G701" s="206">
        <v>26.4</v>
      </c>
      <c r="H701" s="83"/>
      <c r="I701" s="83"/>
      <c r="J701" s="530"/>
    </row>
    <row r="702" spans="1:10" x14ac:dyDescent="0.25">
      <c r="A702" s="15"/>
      <c r="B702" s="45"/>
      <c r="C702" s="83"/>
      <c r="D702" s="204">
        <f>+D701+1</f>
        <v>3</v>
      </c>
      <c r="E702" s="214" t="s">
        <v>760</v>
      </c>
      <c r="F702" s="205">
        <f>+G701</f>
        <v>26.4</v>
      </c>
      <c r="G702" s="83">
        <v>47.33</v>
      </c>
      <c r="H702" s="83"/>
      <c r="I702" s="83"/>
      <c r="J702" s="530"/>
    </row>
    <row r="703" spans="1:10" x14ac:dyDescent="0.25">
      <c r="A703" s="465"/>
      <c r="B703" s="466"/>
      <c r="C703" s="467"/>
      <c r="D703" s="468">
        <f>+D702+1</f>
        <v>4</v>
      </c>
      <c r="E703" s="475" t="s">
        <v>761</v>
      </c>
      <c r="F703" s="464">
        <f>+G702</f>
        <v>47.33</v>
      </c>
      <c r="G703" s="467">
        <v>59.55</v>
      </c>
      <c r="H703" s="476" t="s">
        <v>764</v>
      </c>
      <c r="I703" s="467"/>
      <c r="J703" s="530"/>
    </row>
    <row r="704" spans="1:10" x14ac:dyDescent="0.25">
      <c r="A704" s="15"/>
      <c r="B704" s="45"/>
      <c r="C704" s="83"/>
      <c r="D704" s="203"/>
      <c r="E704" s="203"/>
      <c r="F704" s="203"/>
      <c r="G704" s="83"/>
      <c r="H704" s="83"/>
      <c r="I704" s="83"/>
      <c r="J704" s="530"/>
    </row>
    <row r="705" spans="1:10" x14ac:dyDescent="0.25">
      <c r="A705" s="15">
        <v>116</v>
      </c>
      <c r="B705" s="44">
        <v>44136</v>
      </c>
      <c r="C705" s="86" t="s">
        <v>763</v>
      </c>
      <c r="D705" s="204">
        <v>1</v>
      </c>
      <c r="E705" s="215" t="s">
        <v>765</v>
      </c>
      <c r="F705" s="203">
        <v>3.12</v>
      </c>
      <c r="G705" s="83">
        <v>10.16</v>
      </c>
      <c r="H705" s="83"/>
      <c r="I705" s="83" t="s">
        <v>769</v>
      </c>
      <c r="J705" s="533" t="s">
        <v>769</v>
      </c>
    </row>
    <row r="706" spans="1:10" x14ac:dyDescent="0.25">
      <c r="A706" s="15"/>
      <c r="B706" s="45"/>
      <c r="C706" s="83"/>
      <c r="D706" s="204">
        <f>+D705+1</f>
        <v>2</v>
      </c>
      <c r="E706" s="215" t="s">
        <v>766</v>
      </c>
      <c r="F706" s="203">
        <f>+G705</f>
        <v>10.16</v>
      </c>
      <c r="G706" s="83">
        <v>33.549999999999997</v>
      </c>
      <c r="H706" s="83"/>
      <c r="I706" s="83"/>
      <c r="J706" s="530"/>
    </row>
    <row r="707" spans="1:10" x14ac:dyDescent="0.25">
      <c r="A707" s="465"/>
      <c r="B707" s="466"/>
      <c r="C707" s="467"/>
      <c r="D707" s="468">
        <f>+D706+1</f>
        <v>3</v>
      </c>
      <c r="E707" s="477" t="s">
        <v>767</v>
      </c>
      <c r="F707" s="464">
        <f t="shared" ref="F707" si="67">+G706</f>
        <v>33.549999999999997</v>
      </c>
      <c r="G707" s="467">
        <v>59.05</v>
      </c>
      <c r="H707" s="476" t="s">
        <v>768</v>
      </c>
      <c r="I707" s="467"/>
      <c r="J707" s="530"/>
    </row>
    <row r="708" spans="1:10" x14ac:dyDescent="0.25">
      <c r="A708" s="15"/>
      <c r="B708" s="45"/>
      <c r="C708" s="83"/>
      <c r="D708" s="204"/>
      <c r="E708" s="203"/>
      <c r="F708" s="203"/>
      <c r="G708" s="83"/>
      <c r="H708" s="83"/>
      <c r="I708" s="83"/>
      <c r="J708" s="530"/>
    </row>
    <row r="709" spans="1:10" x14ac:dyDescent="0.25">
      <c r="A709" s="16">
        <v>117</v>
      </c>
      <c r="B709" s="44">
        <v>44137</v>
      </c>
      <c r="C709" s="87" t="s">
        <v>665</v>
      </c>
      <c r="D709"/>
      <c r="E709" s="215" t="s">
        <v>770</v>
      </c>
      <c r="F709" s="203">
        <v>4.5599999999999996</v>
      </c>
      <c r="G709" s="83">
        <v>7.55</v>
      </c>
      <c r="H709" s="83"/>
      <c r="I709" s="83" t="s">
        <v>774</v>
      </c>
      <c r="J709" s="533" t="s">
        <v>774</v>
      </c>
    </row>
    <row r="710" spans="1:10" x14ac:dyDescent="0.25">
      <c r="A710" s="15"/>
      <c r="B710" s="45"/>
      <c r="C710" s="83"/>
      <c r="D710"/>
      <c r="E710" s="215" t="s">
        <v>771</v>
      </c>
      <c r="F710" s="203">
        <f>+G709</f>
        <v>7.55</v>
      </c>
      <c r="G710" s="83">
        <v>20.22</v>
      </c>
      <c r="H710" s="83"/>
      <c r="I710" s="83"/>
      <c r="J710" s="530"/>
    </row>
    <row r="711" spans="1:10" x14ac:dyDescent="0.25">
      <c r="A711" s="15"/>
      <c r="B711" s="45"/>
      <c r="C711" s="83"/>
      <c r="D711"/>
      <c r="E711" s="215" t="s">
        <v>772</v>
      </c>
      <c r="F711" s="203">
        <f t="shared" ref="F711:F713" si="68">+G710</f>
        <v>20.22</v>
      </c>
      <c r="G711" s="83">
        <v>32.18</v>
      </c>
      <c r="H711" s="83"/>
      <c r="I711" s="83"/>
      <c r="J711" s="530"/>
    </row>
    <row r="712" spans="1:10" x14ac:dyDescent="0.25">
      <c r="A712" s="15"/>
      <c r="B712" s="45"/>
      <c r="C712" s="83"/>
      <c r="D712"/>
      <c r="E712" s="215" t="s">
        <v>773</v>
      </c>
      <c r="F712" s="203">
        <f t="shared" si="68"/>
        <v>32.18</v>
      </c>
      <c r="G712" s="83">
        <v>49.37</v>
      </c>
      <c r="H712" s="83"/>
      <c r="I712" s="83"/>
      <c r="J712" s="530"/>
    </row>
    <row r="713" spans="1:10" x14ac:dyDescent="0.25">
      <c r="A713" s="15"/>
      <c r="B713" s="45"/>
      <c r="C713" s="83"/>
      <c r="D713" s="204">
        <f>+D718+1</f>
        <v>5</v>
      </c>
      <c r="E713" s="216" t="s">
        <v>775</v>
      </c>
      <c r="F713" s="203">
        <f t="shared" si="68"/>
        <v>49.37</v>
      </c>
      <c r="G713" s="83">
        <v>59.49</v>
      </c>
      <c r="H713" s="87" t="s">
        <v>776</v>
      </c>
      <c r="I713" s="83"/>
      <c r="J713" s="530"/>
    </row>
    <row r="714" spans="1:10" x14ac:dyDescent="0.25">
      <c r="A714" s="465"/>
      <c r="B714" s="466"/>
      <c r="C714" s="467"/>
      <c r="D714" s="464"/>
      <c r="E714" s="464"/>
      <c r="F714" s="464"/>
      <c r="G714" s="467"/>
      <c r="H714" s="467"/>
      <c r="I714" s="467"/>
      <c r="J714" s="530"/>
    </row>
    <row r="715" spans="1:10" x14ac:dyDescent="0.25">
      <c r="A715" s="15">
        <v>118</v>
      </c>
      <c r="B715" s="44">
        <v>44138</v>
      </c>
      <c r="C715" s="88" t="s">
        <v>781</v>
      </c>
      <c r="D715" s="204">
        <v>1</v>
      </c>
      <c r="E715" s="216" t="s">
        <v>777</v>
      </c>
      <c r="F715" s="205">
        <v>6.3</v>
      </c>
      <c r="G715" s="83">
        <v>8.52</v>
      </c>
      <c r="H715" s="83"/>
      <c r="I715" s="83" t="s">
        <v>782</v>
      </c>
      <c r="J715" s="533" t="s">
        <v>782</v>
      </c>
    </row>
    <row r="716" spans="1:10" x14ac:dyDescent="0.25">
      <c r="A716" s="15"/>
      <c r="B716" s="45"/>
      <c r="C716" s="83"/>
      <c r="D716" s="204">
        <f>+D715+1</f>
        <v>2</v>
      </c>
      <c r="E716" s="216" t="s">
        <v>778</v>
      </c>
      <c r="F716" s="205">
        <f>+G715</f>
        <v>8.52</v>
      </c>
      <c r="G716" s="83">
        <v>27.2</v>
      </c>
      <c r="H716" s="83"/>
      <c r="I716" s="83"/>
      <c r="J716" s="530"/>
    </row>
    <row r="717" spans="1:10" x14ac:dyDescent="0.25">
      <c r="A717" s="15"/>
      <c r="B717" s="45"/>
      <c r="C717" s="83"/>
      <c r="D717" s="204">
        <f>+D716+1</f>
        <v>3</v>
      </c>
      <c r="E717" s="216" t="s">
        <v>779</v>
      </c>
      <c r="F717" s="205">
        <f t="shared" ref="F717:F718" si="69">+G716</f>
        <v>27.2</v>
      </c>
      <c r="G717" s="83">
        <v>46.42</v>
      </c>
      <c r="H717" s="83"/>
      <c r="I717" s="83"/>
      <c r="J717" s="530"/>
    </row>
    <row r="718" spans="1:10" x14ac:dyDescent="0.25">
      <c r="A718" s="465"/>
      <c r="B718" s="466"/>
      <c r="C718" s="467"/>
      <c r="D718" s="468">
        <f>+D717+1</f>
        <v>4</v>
      </c>
      <c r="E718" s="478" t="s">
        <v>780</v>
      </c>
      <c r="F718" s="469">
        <f t="shared" si="69"/>
        <v>46.42</v>
      </c>
      <c r="G718" s="479" t="s">
        <v>783</v>
      </c>
      <c r="H718" s="467"/>
      <c r="I718" s="467"/>
      <c r="J718" s="530"/>
    </row>
    <row r="719" spans="1:10" x14ac:dyDescent="0.25">
      <c r="A719" s="15"/>
      <c r="B719" s="45"/>
      <c r="C719" s="83"/>
      <c r="D719" s="203"/>
      <c r="E719" s="203"/>
      <c r="F719" s="203"/>
      <c r="G719" s="83"/>
      <c r="H719" s="83"/>
      <c r="I719" s="83"/>
      <c r="J719" s="530"/>
    </row>
    <row r="720" spans="1:10" x14ac:dyDescent="0.25">
      <c r="A720" s="15">
        <v>119</v>
      </c>
      <c r="B720" s="44">
        <v>44139</v>
      </c>
      <c r="C720" s="83">
        <v>59.22</v>
      </c>
      <c r="D720" s="204">
        <v>1</v>
      </c>
      <c r="E720" s="217" t="s">
        <v>784</v>
      </c>
      <c r="F720" s="203">
        <v>2.02</v>
      </c>
      <c r="G720" s="83">
        <v>18.13</v>
      </c>
      <c r="H720" s="83"/>
      <c r="I720" s="83" t="s">
        <v>787</v>
      </c>
      <c r="J720" s="533" t="s">
        <v>787</v>
      </c>
    </row>
    <row r="721" spans="1:10" x14ac:dyDescent="0.25">
      <c r="A721" s="15"/>
      <c r="B721" s="45"/>
      <c r="C721" s="83"/>
      <c r="D721" s="204">
        <f>+D720+1</f>
        <v>2</v>
      </c>
      <c r="E721" s="217" t="s">
        <v>785</v>
      </c>
      <c r="F721" s="203">
        <f>+G720</f>
        <v>18.13</v>
      </c>
      <c r="G721" s="83">
        <v>39.56</v>
      </c>
      <c r="H721" s="83"/>
      <c r="I721" s="83"/>
      <c r="J721" s="530"/>
    </row>
    <row r="722" spans="1:10" x14ac:dyDescent="0.25">
      <c r="A722" s="15"/>
      <c r="B722" s="45"/>
      <c r="C722" s="83"/>
      <c r="D722" s="204">
        <f>+D721+1</f>
        <v>3</v>
      </c>
      <c r="E722" s="217" t="s">
        <v>786</v>
      </c>
      <c r="F722" s="205">
        <f t="shared" ref="F722:F723" si="70">+G721</f>
        <v>39.56</v>
      </c>
      <c r="G722" s="206">
        <v>55.2</v>
      </c>
      <c r="H722" s="83"/>
      <c r="I722" s="83"/>
      <c r="J722" s="530"/>
    </row>
    <row r="723" spans="1:10" x14ac:dyDescent="0.25">
      <c r="A723" s="465"/>
      <c r="B723" s="466"/>
      <c r="C723" s="467"/>
      <c r="D723" s="468">
        <f>+D722+1</f>
        <v>4</v>
      </c>
      <c r="E723" s="480" t="s">
        <v>788</v>
      </c>
      <c r="F723" s="469">
        <f t="shared" si="70"/>
        <v>55.2</v>
      </c>
      <c r="G723" s="470">
        <v>58.4</v>
      </c>
      <c r="H723" s="481" t="s">
        <v>788</v>
      </c>
      <c r="I723" s="467"/>
      <c r="J723" s="530"/>
    </row>
    <row r="724" spans="1:10" x14ac:dyDescent="0.25">
      <c r="A724" s="15"/>
      <c r="B724" s="45"/>
      <c r="C724" s="83"/>
      <c r="D724" s="203"/>
      <c r="E724" s="203"/>
      <c r="F724" s="203"/>
      <c r="G724" s="83"/>
      <c r="H724" s="83"/>
      <c r="I724" s="83"/>
      <c r="J724" s="530"/>
    </row>
    <row r="725" spans="1:10" x14ac:dyDescent="0.25">
      <c r="A725" s="15">
        <v>120</v>
      </c>
      <c r="B725" s="44">
        <v>44140</v>
      </c>
      <c r="C725" s="83">
        <v>52.17</v>
      </c>
      <c r="D725" s="204">
        <v>1</v>
      </c>
      <c r="E725" s="218" t="s">
        <v>789</v>
      </c>
      <c r="F725" s="203">
        <v>4.2300000000000004</v>
      </c>
      <c r="G725" s="206">
        <v>13.1</v>
      </c>
      <c r="H725" s="83"/>
      <c r="I725" s="83" t="s">
        <v>790</v>
      </c>
      <c r="J725" s="533" t="s">
        <v>790</v>
      </c>
    </row>
    <row r="726" spans="1:10" x14ac:dyDescent="0.25">
      <c r="A726" s="15"/>
      <c r="B726" s="45"/>
      <c r="C726" s="83"/>
      <c r="D726" s="204">
        <f>+D725+1</f>
        <v>2</v>
      </c>
      <c r="E726" s="218" t="s">
        <v>791</v>
      </c>
      <c r="F726" s="205">
        <f>+G725</f>
        <v>13.1</v>
      </c>
      <c r="G726" s="206">
        <v>37.28</v>
      </c>
      <c r="H726" s="83"/>
      <c r="I726" s="83"/>
      <c r="J726" s="530"/>
    </row>
    <row r="727" spans="1:10" x14ac:dyDescent="0.25">
      <c r="A727" s="465"/>
      <c r="B727" s="466"/>
      <c r="C727" s="467"/>
      <c r="D727" s="468">
        <f>+D726+1</f>
        <v>3</v>
      </c>
      <c r="E727" s="482" t="s">
        <v>792</v>
      </c>
      <c r="F727" s="469">
        <f>+G726</f>
        <v>37.28</v>
      </c>
      <c r="G727" s="470">
        <v>51.1</v>
      </c>
      <c r="H727" s="467"/>
      <c r="I727" s="467"/>
      <c r="J727" s="530"/>
    </row>
    <row r="728" spans="1:10" x14ac:dyDescent="0.25">
      <c r="A728" s="15"/>
      <c r="B728" s="45"/>
      <c r="C728" s="83"/>
      <c r="D728" s="204"/>
      <c r="E728" s="203"/>
      <c r="F728" s="205"/>
      <c r="G728" s="83"/>
      <c r="H728" s="83"/>
      <c r="I728" s="83"/>
      <c r="J728" s="530"/>
    </row>
    <row r="729" spans="1:10" x14ac:dyDescent="0.25">
      <c r="A729" s="15">
        <v>121</v>
      </c>
      <c r="B729" s="44">
        <v>44141</v>
      </c>
      <c r="C729" s="83">
        <v>52.11</v>
      </c>
      <c r="D729" s="204">
        <v>1</v>
      </c>
      <c r="E729" s="218" t="s">
        <v>793</v>
      </c>
      <c r="F729" s="205">
        <v>1.02</v>
      </c>
      <c r="G729" s="83">
        <v>11.47</v>
      </c>
      <c r="H729" s="83"/>
      <c r="I729" s="83" t="s">
        <v>797</v>
      </c>
      <c r="J729" s="533" t="s">
        <v>797</v>
      </c>
    </row>
    <row r="730" spans="1:10" x14ac:dyDescent="0.25">
      <c r="A730" s="15"/>
      <c r="B730" s="45"/>
      <c r="C730" s="83"/>
      <c r="D730" s="204">
        <f>+D729+1</f>
        <v>2</v>
      </c>
      <c r="E730" s="218" t="s">
        <v>794</v>
      </c>
      <c r="F730" s="203">
        <f>+G729</f>
        <v>11.47</v>
      </c>
      <c r="G730" s="83">
        <v>21.45</v>
      </c>
      <c r="H730" s="83"/>
      <c r="I730" s="83"/>
      <c r="J730" s="530"/>
    </row>
    <row r="731" spans="1:10" x14ac:dyDescent="0.25">
      <c r="A731" s="15"/>
      <c r="B731" s="45"/>
      <c r="C731" s="83"/>
      <c r="D731" s="204">
        <f>+D730+1</f>
        <v>3</v>
      </c>
      <c r="E731" s="218" t="s">
        <v>795</v>
      </c>
      <c r="F731" s="203">
        <f t="shared" ref="F731:F732" si="71">+G730</f>
        <v>21.45</v>
      </c>
      <c r="G731" s="83">
        <v>37.07</v>
      </c>
      <c r="H731" s="83"/>
      <c r="I731" s="83"/>
      <c r="J731" s="530"/>
    </row>
    <row r="732" spans="1:10" x14ac:dyDescent="0.25">
      <c r="A732" s="465"/>
      <c r="B732" s="466"/>
      <c r="C732" s="467"/>
      <c r="D732" s="468">
        <f>+D731+1</f>
        <v>4</v>
      </c>
      <c r="E732" s="482" t="s">
        <v>796</v>
      </c>
      <c r="F732" s="464">
        <f t="shared" si="71"/>
        <v>37.07</v>
      </c>
      <c r="G732" s="467">
        <v>51.33</v>
      </c>
      <c r="H732" s="483" t="s">
        <v>799</v>
      </c>
      <c r="I732" s="467"/>
      <c r="J732" s="530"/>
    </row>
    <row r="733" spans="1:10" x14ac:dyDescent="0.25">
      <c r="A733" s="15"/>
      <c r="B733" s="45"/>
      <c r="C733" s="83"/>
      <c r="D733" s="203"/>
      <c r="E733" s="203"/>
      <c r="F733" s="203"/>
      <c r="G733" s="83"/>
      <c r="H733" s="83"/>
      <c r="I733" s="83"/>
      <c r="J733" s="530"/>
    </row>
    <row r="734" spans="1:10" x14ac:dyDescent="0.25">
      <c r="A734" s="15">
        <v>122</v>
      </c>
      <c r="B734" s="44">
        <v>44142</v>
      </c>
      <c r="C734" s="83">
        <v>59.11</v>
      </c>
      <c r="D734" s="204">
        <v>1</v>
      </c>
      <c r="E734" s="219" t="s">
        <v>800</v>
      </c>
      <c r="F734" s="219">
        <v>5.51</v>
      </c>
      <c r="G734" s="83">
        <v>8.32</v>
      </c>
      <c r="H734" s="83"/>
      <c r="I734" s="83" t="s">
        <v>798</v>
      </c>
      <c r="J734" s="533" t="s">
        <v>798</v>
      </c>
    </row>
    <row r="735" spans="1:10" x14ac:dyDescent="0.25">
      <c r="A735" s="15"/>
      <c r="B735" s="45"/>
      <c r="C735" s="83"/>
      <c r="D735" s="204">
        <f>+D734+1</f>
        <v>2</v>
      </c>
      <c r="E735" s="219" t="s">
        <v>801</v>
      </c>
      <c r="F735" s="203">
        <f>+G734</f>
        <v>8.32</v>
      </c>
      <c r="G735" s="83">
        <v>22.18</v>
      </c>
      <c r="H735" s="83"/>
      <c r="I735" s="83"/>
      <c r="J735" s="530"/>
    </row>
    <row r="736" spans="1:10" x14ac:dyDescent="0.25">
      <c r="A736" s="15"/>
      <c r="B736" s="45"/>
      <c r="C736" s="83"/>
      <c r="D736" s="204">
        <f>+D735+1</f>
        <v>3</v>
      </c>
      <c r="E736" s="219" t="s">
        <v>802</v>
      </c>
      <c r="F736" s="203">
        <f t="shared" ref="F736:F738" si="72">+G735</f>
        <v>22.18</v>
      </c>
      <c r="G736" s="83">
        <v>35.409999999999997</v>
      </c>
      <c r="H736" s="83"/>
      <c r="I736" s="83"/>
      <c r="J736" s="530"/>
    </row>
    <row r="737" spans="1:10" x14ac:dyDescent="0.25">
      <c r="A737" s="15"/>
      <c r="B737" s="45"/>
      <c r="C737" s="83"/>
      <c r="D737" s="204">
        <f>+D736+1</f>
        <v>4</v>
      </c>
      <c r="E737" s="219" t="s">
        <v>803</v>
      </c>
      <c r="F737" s="203">
        <f t="shared" si="72"/>
        <v>35.409999999999997</v>
      </c>
      <c r="G737" s="83">
        <v>45.57</v>
      </c>
      <c r="H737" s="83"/>
      <c r="I737" s="83"/>
      <c r="J737" s="530"/>
    </row>
    <row r="738" spans="1:10" x14ac:dyDescent="0.25">
      <c r="A738" s="465"/>
      <c r="B738" s="466"/>
      <c r="C738" s="467"/>
      <c r="D738" s="468">
        <f>+D737+1</f>
        <v>5</v>
      </c>
      <c r="E738" s="484" t="s">
        <v>804</v>
      </c>
      <c r="F738" s="464">
        <f t="shared" si="72"/>
        <v>45.57</v>
      </c>
      <c r="G738" s="467">
        <v>57.55</v>
      </c>
      <c r="H738" s="467"/>
      <c r="I738" s="467"/>
      <c r="J738" s="530"/>
    </row>
    <row r="739" spans="1:10" x14ac:dyDescent="0.25">
      <c r="A739" s="15"/>
      <c r="B739" s="45"/>
      <c r="C739" s="83"/>
      <c r="D739" s="203"/>
      <c r="E739" s="203"/>
      <c r="F739" s="203"/>
      <c r="G739" s="83"/>
      <c r="H739" s="83"/>
      <c r="I739" s="83"/>
      <c r="J739" s="530"/>
    </row>
    <row r="740" spans="1:10" x14ac:dyDescent="0.25">
      <c r="A740" s="15">
        <v>123</v>
      </c>
      <c r="B740" s="44">
        <v>44143</v>
      </c>
      <c r="C740" s="83"/>
      <c r="D740" s="204">
        <v>1</v>
      </c>
      <c r="E740" s="219" t="s">
        <v>805</v>
      </c>
      <c r="F740" s="203">
        <v>7.18</v>
      </c>
      <c r="G740" s="83">
        <v>13.43</v>
      </c>
      <c r="H740" s="83"/>
      <c r="I740" s="83" t="s">
        <v>821</v>
      </c>
      <c r="J740" s="533" t="s">
        <v>821</v>
      </c>
    </row>
    <row r="741" spans="1:10" x14ac:dyDescent="0.25">
      <c r="A741" s="15"/>
      <c r="B741" s="45"/>
      <c r="C741" s="83"/>
      <c r="D741" s="204">
        <f>+D740+1</f>
        <v>2</v>
      </c>
      <c r="E741" s="219" t="s">
        <v>806</v>
      </c>
      <c r="F741" s="203">
        <f>+G740</f>
        <v>13.43</v>
      </c>
      <c r="G741" s="83">
        <v>25.29</v>
      </c>
      <c r="H741" s="83"/>
      <c r="I741" s="83"/>
      <c r="J741" s="530"/>
    </row>
    <row r="742" spans="1:10" x14ac:dyDescent="0.25">
      <c r="A742" s="15"/>
      <c r="B742" s="45"/>
      <c r="C742" s="83"/>
      <c r="D742" s="204">
        <f>+D741+1</f>
        <v>3</v>
      </c>
      <c r="E742" s="219" t="s">
        <v>807</v>
      </c>
      <c r="F742" s="203">
        <f t="shared" ref="F742:F743" si="73">+G741</f>
        <v>25.29</v>
      </c>
      <c r="G742" s="83">
        <v>42.24</v>
      </c>
      <c r="H742" s="83"/>
      <c r="I742" s="83"/>
      <c r="J742" s="530"/>
    </row>
    <row r="743" spans="1:10" x14ac:dyDescent="0.25">
      <c r="A743" s="465"/>
      <c r="B743" s="466"/>
      <c r="C743" s="467"/>
      <c r="D743" s="468">
        <f>+D742+1</f>
        <v>4</v>
      </c>
      <c r="E743" s="484" t="s">
        <v>808</v>
      </c>
      <c r="F743" s="464">
        <f t="shared" si="73"/>
        <v>42.24</v>
      </c>
      <c r="G743" s="467">
        <v>54.09</v>
      </c>
      <c r="H743" s="467"/>
      <c r="I743" s="467"/>
      <c r="J743" s="530"/>
    </row>
    <row r="744" spans="1:10" x14ac:dyDescent="0.25">
      <c r="A744" s="15"/>
      <c r="B744" s="45"/>
      <c r="C744" s="83"/>
      <c r="D744" s="204"/>
      <c r="E744" s="203"/>
      <c r="F744" s="203"/>
      <c r="G744" s="83"/>
      <c r="H744" s="83"/>
      <c r="I744" s="83"/>
      <c r="J744" s="530"/>
    </row>
    <row r="745" spans="1:10" x14ac:dyDescent="0.25">
      <c r="A745" s="15">
        <v>124</v>
      </c>
      <c r="B745" s="44">
        <v>44144</v>
      </c>
      <c r="C745" s="83">
        <v>59.21</v>
      </c>
      <c r="D745" s="204">
        <v>1</v>
      </c>
      <c r="E745" s="220" t="s">
        <v>809</v>
      </c>
      <c r="F745" s="203">
        <v>5.44</v>
      </c>
      <c r="G745" s="83">
        <v>27.06</v>
      </c>
      <c r="H745" s="83"/>
      <c r="I745" s="83" t="s">
        <v>813</v>
      </c>
      <c r="J745" s="533" t="s">
        <v>813</v>
      </c>
    </row>
    <row r="746" spans="1:10" x14ac:dyDescent="0.25">
      <c r="A746" s="15"/>
      <c r="B746" s="45"/>
      <c r="C746" s="83"/>
      <c r="D746" s="204">
        <f>+D745+1</f>
        <v>2</v>
      </c>
      <c r="E746" s="220" t="s">
        <v>810</v>
      </c>
      <c r="F746" s="203">
        <f>+G745</f>
        <v>27.06</v>
      </c>
      <c r="G746" s="83">
        <v>41.19</v>
      </c>
      <c r="H746" s="83"/>
      <c r="I746" s="83"/>
      <c r="J746" s="530"/>
    </row>
    <row r="747" spans="1:10" x14ac:dyDescent="0.25">
      <c r="A747" s="15"/>
      <c r="B747" s="45"/>
      <c r="C747" s="83"/>
      <c r="D747" s="204">
        <f>+D746+1</f>
        <v>3</v>
      </c>
      <c r="E747" s="220" t="s">
        <v>811</v>
      </c>
      <c r="F747" s="203">
        <f t="shared" ref="F747:F748" si="74">+G746</f>
        <v>41.19</v>
      </c>
      <c r="G747" s="83">
        <v>53.18</v>
      </c>
      <c r="H747" s="83"/>
      <c r="I747" s="83"/>
      <c r="J747" s="530"/>
    </row>
    <row r="748" spans="1:10" x14ac:dyDescent="0.25">
      <c r="A748" s="55"/>
      <c r="B748" s="485"/>
      <c r="C748" s="412"/>
      <c r="D748" s="468">
        <f>+D747+1</f>
        <v>4</v>
      </c>
      <c r="E748" s="486" t="s">
        <v>812</v>
      </c>
      <c r="F748" s="464">
        <f t="shared" si="74"/>
        <v>53.18</v>
      </c>
      <c r="G748" s="487">
        <v>58.18</v>
      </c>
      <c r="H748" s="487" t="s">
        <v>815</v>
      </c>
      <c r="I748" s="412"/>
      <c r="J748"/>
    </row>
    <row r="749" spans="1:10" x14ac:dyDescent="0.25">
      <c r="A749" s="17"/>
      <c r="B749" s="46"/>
      <c r="C749" s="89"/>
      <c r="D749" s="221"/>
      <c r="E749" s="221"/>
      <c r="F749" s="221"/>
      <c r="G749" s="89"/>
      <c r="H749" s="89"/>
      <c r="I749" s="89"/>
      <c r="J749" s="530"/>
    </row>
    <row r="750" spans="1:10" x14ac:dyDescent="0.25">
      <c r="A750" s="17">
        <v>125</v>
      </c>
      <c r="B750" s="47">
        <v>44145</v>
      </c>
      <c r="C750" s="89">
        <v>30.06</v>
      </c>
      <c r="D750" s="204">
        <v>1</v>
      </c>
      <c r="E750" s="221" t="s">
        <v>816</v>
      </c>
      <c r="F750" s="221">
        <v>0.57999999999999996</v>
      </c>
      <c r="G750" s="89">
        <v>8.32</v>
      </c>
      <c r="H750" s="89"/>
      <c r="I750" s="89" t="s">
        <v>814</v>
      </c>
      <c r="J750" s="533" t="s">
        <v>814</v>
      </c>
    </row>
    <row r="751" spans="1:10" x14ac:dyDescent="0.25">
      <c r="A751" s="17"/>
      <c r="B751" s="46"/>
      <c r="C751" s="89"/>
      <c r="D751" s="204">
        <f>+D750+1</f>
        <v>2</v>
      </c>
      <c r="E751" s="221" t="s">
        <v>817</v>
      </c>
      <c r="F751" s="221">
        <f>+G750</f>
        <v>8.32</v>
      </c>
      <c r="G751" s="89">
        <v>21.47</v>
      </c>
      <c r="H751" s="89"/>
      <c r="I751" s="89"/>
      <c r="J751" s="530"/>
    </row>
    <row r="752" spans="1:10" x14ac:dyDescent="0.25">
      <c r="A752" s="488"/>
      <c r="B752" s="489"/>
      <c r="C752" s="490"/>
      <c r="D752" s="468">
        <f>+D751+1</f>
        <v>3</v>
      </c>
      <c r="E752" s="491" t="s">
        <v>818</v>
      </c>
      <c r="F752" s="491">
        <f>+G751</f>
        <v>21.47</v>
      </c>
      <c r="G752" s="490">
        <v>29.26</v>
      </c>
      <c r="H752" s="490"/>
      <c r="I752" s="490"/>
      <c r="J752" s="530"/>
    </row>
    <row r="753" spans="1:10" x14ac:dyDescent="0.25">
      <c r="A753" s="546"/>
      <c r="B753" s="547"/>
      <c r="C753" s="548"/>
      <c r="D753" s="549"/>
      <c r="E753" s="550"/>
      <c r="F753" s="550"/>
      <c r="G753" s="548"/>
      <c r="H753" s="548"/>
      <c r="I753" s="89"/>
      <c r="J753" s="530"/>
    </row>
    <row r="754" spans="1:10" x14ac:dyDescent="0.25">
      <c r="A754" s="17">
        <v>126</v>
      </c>
      <c r="B754" s="47">
        <v>44146</v>
      </c>
      <c r="C754" s="89">
        <v>41.48</v>
      </c>
      <c r="D754" s="204">
        <v>1</v>
      </c>
      <c r="E754" s="221" t="s">
        <v>819</v>
      </c>
      <c r="F754" s="221">
        <v>2.11</v>
      </c>
      <c r="G754" s="89">
        <v>20.059999999999999</v>
      </c>
      <c r="H754" s="89"/>
      <c r="I754" s="89" t="s">
        <v>824</v>
      </c>
      <c r="J754" s="533" t="s">
        <v>824</v>
      </c>
    </row>
    <row r="755" spans="1:10" x14ac:dyDescent="0.25">
      <c r="A755" s="17"/>
      <c r="B755" s="46"/>
      <c r="C755" s="89"/>
      <c r="D755" s="204">
        <f>+D754+1</f>
        <v>2</v>
      </c>
      <c r="E755" s="221" t="s">
        <v>820</v>
      </c>
      <c r="F755" s="221">
        <f>+G754</f>
        <v>20.059999999999999</v>
      </c>
      <c r="G755" s="89">
        <v>40.520000000000003</v>
      </c>
      <c r="H755" s="89"/>
      <c r="I755" s="89"/>
      <c r="J755" s="530"/>
    </row>
    <row r="756" spans="1:10" x14ac:dyDescent="0.25">
      <c r="A756" s="488"/>
      <c r="B756" s="489"/>
      <c r="C756" s="490"/>
      <c r="D756" s="468"/>
      <c r="E756" s="491"/>
      <c r="F756" s="491"/>
      <c r="G756" s="490"/>
      <c r="H756" s="490"/>
      <c r="I756" s="89"/>
      <c r="J756" s="530"/>
    </row>
    <row r="757" spans="1:10" x14ac:dyDescent="0.25">
      <c r="A757" s="17">
        <v>127</v>
      </c>
      <c r="B757" s="47">
        <v>44147</v>
      </c>
      <c r="C757" s="90" t="s">
        <v>825</v>
      </c>
      <c r="D757" s="204">
        <v>1</v>
      </c>
      <c r="E757" s="222" t="s">
        <v>826</v>
      </c>
      <c r="F757" s="221">
        <v>3.33</v>
      </c>
      <c r="G757" s="89">
        <v>12.52</v>
      </c>
      <c r="H757" s="89"/>
      <c r="I757" s="89" t="s">
        <v>831</v>
      </c>
      <c r="J757" s="533" t="s">
        <v>831</v>
      </c>
    </row>
    <row r="758" spans="1:10" x14ac:dyDescent="0.25">
      <c r="A758" s="17"/>
      <c r="B758" s="46"/>
      <c r="C758" s="89"/>
      <c r="D758" s="204">
        <f>+D757+1</f>
        <v>2</v>
      </c>
      <c r="E758" s="222" t="s">
        <v>827</v>
      </c>
      <c r="F758" s="221">
        <f>+G757</f>
        <v>12.52</v>
      </c>
      <c r="G758" s="223">
        <v>17</v>
      </c>
      <c r="H758" s="89"/>
      <c r="I758" s="89"/>
    </row>
    <row r="759" spans="1:10" x14ac:dyDescent="0.25">
      <c r="A759" s="17"/>
      <c r="B759" s="46"/>
      <c r="C759" s="89"/>
      <c r="D759" s="204">
        <f>+D758+1</f>
        <v>3</v>
      </c>
      <c r="E759" s="222" t="s">
        <v>828</v>
      </c>
      <c r="F759" s="224">
        <f t="shared" ref="F759:F763" si="75">+G758</f>
        <v>17</v>
      </c>
      <c r="G759" s="223">
        <v>27.36</v>
      </c>
      <c r="H759" s="89"/>
      <c r="I759" s="89"/>
    </row>
    <row r="760" spans="1:10" x14ac:dyDescent="0.25">
      <c r="A760" s="17"/>
      <c r="B760" s="46"/>
      <c r="C760" s="89"/>
      <c r="D760" s="204">
        <f>+D759+1</f>
        <v>4</v>
      </c>
      <c r="E760" s="222" t="s">
        <v>829</v>
      </c>
      <c r="F760" s="224">
        <f t="shared" si="75"/>
        <v>27.36</v>
      </c>
      <c r="G760" s="89">
        <v>37.479999999999997</v>
      </c>
      <c r="H760" s="89"/>
      <c r="I760" s="89"/>
    </row>
    <row r="761" spans="1:10" x14ac:dyDescent="0.25">
      <c r="A761" s="17"/>
      <c r="B761" s="46"/>
      <c r="C761" s="89"/>
      <c r="D761" s="204">
        <f t="shared" ref="D761:D763" si="76">+D760+1</f>
        <v>5</v>
      </c>
      <c r="E761" s="222" t="s">
        <v>830</v>
      </c>
      <c r="F761" s="224">
        <f t="shared" si="75"/>
        <v>37.479999999999997</v>
      </c>
      <c r="G761" s="89">
        <v>43.29</v>
      </c>
      <c r="H761" s="89"/>
      <c r="I761" s="89"/>
    </row>
    <row r="762" spans="1:10" x14ac:dyDescent="0.25">
      <c r="A762" s="17"/>
      <c r="B762" s="46"/>
      <c r="C762" s="89"/>
      <c r="D762" s="204">
        <f t="shared" si="76"/>
        <v>6</v>
      </c>
      <c r="E762" s="222" t="s">
        <v>832</v>
      </c>
      <c r="F762" s="224">
        <f t="shared" si="75"/>
        <v>43.29</v>
      </c>
      <c r="G762" s="89">
        <v>48.56</v>
      </c>
      <c r="H762" s="89"/>
      <c r="I762" s="89"/>
    </row>
    <row r="763" spans="1:10" x14ac:dyDescent="0.25">
      <c r="A763" s="488"/>
      <c r="B763" s="489"/>
      <c r="C763" s="490"/>
      <c r="D763" s="468">
        <f t="shared" si="76"/>
        <v>7</v>
      </c>
      <c r="E763" s="492" t="s">
        <v>833</v>
      </c>
      <c r="F763" s="493">
        <f t="shared" si="75"/>
        <v>48.56</v>
      </c>
      <c r="G763" s="494" t="s">
        <v>834</v>
      </c>
      <c r="H763" s="490"/>
      <c r="I763" s="490"/>
    </row>
    <row r="764" spans="1:10" x14ac:dyDescent="0.25">
      <c r="A764" s="17"/>
      <c r="B764" s="46"/>
      <c r="C764" s="89"/>
      <c r="D764" s="204"/>
      <c r="E764" s="222"/>
      <c r="F764" s="224"/>
      <c r="G764" s="91"/>
      <c r="H764" s="89"/>
      <c r="I764" s="89"/>
    </row>
    <row r="765" spans="1:10" x14ac:dyDescent="0.25">
      <c r="A765" s="18">
        <v>128</v>
      </c>
      <c r="B765" s="48">
        <v>44148</v>
      </c>
      <c r="C765" s="91">
        <v>50.51</v>
      </c>
      <c r="D765" s="225">
        <v>1</v>
      </c>
      <c r="E765" s="222" t="s">
        <v>835</v>
      </c>
      <c r="F765" s="222">
        <v>2.38</v>
      </c>
      <c r="G765" s="91">
        <v>23.38</v>
      </c>
      <c r="H765" s="91"/>
      <c r="I765" s="91" t="s">
        <v>843</v>
      </c>
      <c r="J765" s="551" t="str">
        <f>HYPERLINK("https://www.youtube.com/watch?v=uGsJiqU8MYg","Open Link")</f>
        <v>Open Link</v>
      </c>
    </row>
    <row r="766" spans="1:10" x14ac:dyDescent="0.25">
      <c r="A766" s="18"/>
      <c r="B766" s="49"/>
      <c r="C766" s="91"/>
      <c r="D766" s="225">
        <f>+D765+1</f>
        <v>2</v>
      </c>
      <c r="E766" s="222" t="s">
        <v>836</v>
      </c>
      <c r="F766" s="222">
        <f>+G765</f>
        <v>23.38</v>
      </c>
      <c r="G766" s="91">
        <v>28.12</v>
      </c>
      <c r="H766" s="91"/>
      <c r="I766" s="91"/>
      <c r="J766" s="551"/>
    </row>
    <row r="767" spans="1:10" x14ac:dyDescent="0.25">
      <c r="A767" s="18"/>
      <c r="B767" s="49"/>
      <c r="C767" s="91"/>
      <c r="D767" s="225">
        <f t="shared" ref="D767:D769" si="77">+D766+1</f>
        <v>3</v>
      </c>
      <c r="E767" s="222" t="s">
        <v>837</v>
      </c>
      <c r="F767" s="222">
        <f t="shared" ref="F767:F769" si="78">+G766</f>
        <v>28.12</v>
      </c>
      <c r="G767" s="91">
        <v>36.24</v>
      </c>
      <c r="H767" s="91"/>
      <c r="I767" s="91"/>
      <c r="J767" s="551"/>
    </row>
    <row r="768" spans="1:10" x14ac:dyDescent="0.25">
      <c r="A768" s="18"/>
      <c r="B768" s="49"/>
      <c r="C768" s="91"/>
      <c r="D768" s="225">
        <f t="shared" si="77"/>
        <v>4</v>
      </c>
      <c r="E768" s="222" t="s">
        <v>838</v>
      </c>
      <c r="F768" s="222">
        <f t="shared" si="78"/>
        <v>36.24</v>
      </c>
      <c r="G768" s="91">
        <v>47.02</v>
      </c>
      <c r="H768" s="91"/>
      <c r="I768" s="91"/>
      <c r="J768" s="551"/>
    </row>
    <row r="769" spans="1:10" x14ac:dyDescent="0.25">
      <c r="A769" s="495"/>
      <c r="B769" s="496"/>
      <c r="C769" s="494"/>
      <c r="D769" s="497">
        <f t="shared" si="77"/>
        <v>5</v>
      </c>
      <c r="E769" s="498" t="s">
        <v>841</v>
      </c>
      <c r="F769" s="492">
        <f t="shared" si="78"/>
        <v>47.02</v>
      </c>
      <c r="G769" s="494">
        <v>49.51</v>
      </c>
      <c r="H769" s="494"/>
      <c r="I769" s="494"/>
      <c r="J769" s="551"/>
    </row>
    <row r="770" spans="1:10" x14ac:dyDescent="0.25">
      <c r="A770" s="18"/>
      <c r="B770" s="49"/>
      <c r="C770" s="91"/>
      <c r="D770" s="222"/>
      <c r="E770" s="222"/>
      <c r="F770" s="222"/>
      <c r="G770" s="91"/>
      <c r="H770" s="91"/>
      <c r="I770" s="91"/>
      <c r="J770" s="551"/>
    </row>
    <row r="771" spans="1:10" x14ac:dyDescent="0.25">
      <c r="A771" s="18">
        <v>129</v>
      </c>
      <c r="B771" s="48">
        <v>44149</v>
      </c>
      <c r="C771" s="91">
        <v>48.47</v>
      </c>
      <c r="D771" s="225">
        <v>1</v>
      </c>
      <c r="E771" s="226" t="s">
        <v>842</v>
      </c>
      <c r="F771" s="222">
        <v>6.48</v>
      </c>
      <c r="G771" s="91">
        <v>25.17</v>
      </c>
      <c r="H771" s="91"/>
      <c r="I771" s="91" t="s">
        <v>852</v>
      </c>
      <c r="J771" s="551" t="str">
        <f>HYPERLINK("https://www.youtube.com/watch?v=nQR3G6lPxKo","Open Link")</f>
        <v>Open Link</v>
      </c>
    </row>
    <row r="772" spans="1:10" x14ac:dyDescent="0.25">
      <c r="A772" s="18"/>
      <c r="B772" s="49"/>
      <c r="C772" s="91"/>
      <c r="D772" s="225">
        <f>+D771+1</f>
        <v>2</v>
      </c>
      <c r="E772" s="226" t="s">
        <v>844</v>
      </c>
      <c r="F772" s="222">
        <f>+G771</f>
        <v>25.17</v>
      </c>
      <c r="G772" s="92">
        <v>47.5</v>
      </c>
      <c r="H772" s="91"/>
      <c r="I772" s="91"/>
      <c r="J772" s="551"/>
    </row>
    <row r="773" spans="1:10" x14ac:dyDescent="0.25">
      <c r="A773" s="495"/>
      <c r="B773" s="496"/>
      <c r="C773" s="494"/>
      <c r="D773" s="497"/>
      <c r="E773" s="499"/>
      <c r="F773" s="492"/>
      <c r="G773" s="494"/>
      <c r="H773" s="494"/>
      <c r="I773" s="494"/>
      <c r="J773" s="551"/>
    </row>
    <row r="774" spans="1:10" x14ac:dyDescent="0.25">
      <c r="A774" s="18">
        <v>130</v>
      </c>
      <c r="B774" s="48">
        <v>44150</v>
      </c>
      <c r="C774" s="91">
        <v>46.05</v>
      </c>
      <c r="D774" s="225">
        <v>1</v>
      </c>
      <c r="E774" s="226" t="s">
        <v>845</v>
      </c>
      <c r="F774" s="222">
        <v>5.44</v>
      </c>
      <c r="G774" s="91">
        <v>18.14</v>
      </c>
      <c r="H774" s="91"/>
      <c r="I774" s="91" t="s">
        <v>851</v>
      </c>
      <c r="J774" s="551" t="str">
        <f>HYPERLINK("https://www.youtube.com/watch?v=ZtXpcOlSRoc","Open Link")</f>
        <v>Open Link</v>
      </c>
    </row>
    <row r="775" spans="1:10" x14ac:dyDescent="0.25">
      <c r="A775" s="18"/>
      <c r="B775" s="49"/>
      <c r="C775" s="91"/>
      <c r="D775" s="225">
        <f>+D774+1</f>
        <v>2</v>
      </c>
      <c r="E775" s="226" t="s">
        <v>846</v>
      </c>
      <c r="F775" s="222">
        <f>+G774</f>
        <v>18.14</v>
      </c>
      <c r="G775" s="91">
        <v>26.31</v>
      </c>
      <c r="H775" s="91"/>
      <c r="I775" s="91"/>
      <c r="J775" s="551"/>
    </row>
    <row r="776" spans="1:10" x14ac:dyDescent="0.25">
      <c r="A776" s="18"/>
      <c r="B776" s="49"/>
      <c r="C776" s="91"/>
      <c r="D776" s="225">
        <f t="shared" ref="D776:D778" si="79">+D775+1</f>
        <v>3</v>
      </c>
      <c r="E776" s="226" t="s">
        <v>847</v>
      </c>
      <c r="F776" s="222">
        <f t="shared" ref="F776:F778" si="80">+G775</f>
        <v>26.31</v>
      </c>
      <c r="G776" s="91">
        <v>29.32</v>
      </c>
      <c r="H776" s="91"/>
      <c r="I776" s="91"/>
      <c r="J776" s="551"/>
    </row>
    <row r="777" spans="1:10" x14ac:dyDescent="0.25">
      <c r="A777" s="18"/>
      <c r="B777" s="49"/>
      <c r="C777" s="91"/>
      <c r="D777" s="225">
        <f t="shared" si="79"/>
        <v>4</v>
      </c>
      <c r="E777" s="226" t="s">
        <v>848</v>
      </c>
      <c r="F777" s="222">
        <f t="shared" si="80"/>
        <v>29.32</v>
      </c>
      <c r="G777" s="91">
        <v>41.24</v>
      </c>
      <c r="H777" s="91"/>
      <c r="I777" s="91"/>
      <c r="J777" s="551"/>
    </row>
    <row r="778" spans="1:10" x14ac:dyDescent="0.25">
      <c r="A778" s="18"/>
      <c r="B778" s="49"/>
      <c r="C778" s="91"/>
      <c r="D778" s="225">
        <f t="shared" si="79"/>
        <v>5</v>
      </c>
      <c r="E778" s="226" t="s">
        <v>849</v>
      </c>
      <c r="F778" s="222">
        <f t="shared" si="80"/>
        <v>41.24</v>
      </c>
      <c r="G778" s="91">
        <v>45.29</v>
      </c>
      <c r="H778" s="91"/>
      <c r="I778" s="91"/>
      <c r="J778" s="551"/>
    </row>
    <row r="779" spans="1:10" x14ac:dyDescent="0.25">
      <c r="A779" s="495"/>
      <c r="B779" s="496"/>
      <c r="C779" s="494"/>
      <c r="D779" s="497"/>
      <c r="E779" s="499"/>
      <c r="F779" s="492"/>
      <c r="G779" s="494"/>
      <c r="H779" s="494"/>
      <c r="I779" s="494"/>
      <c r="J779" s="551"/>
    </row>
    <row r="780" spans="1:10" x14ac:dyDescent="0.25">
      <c r="A780" s="18">
        <v>131</v>
      </c>
      <c r="B780" s="48">
        <v>44151</v>
      </c>
      <c r="C780" s="92">
        <v>45.5</v>
      </c>
      <c r="D780" s="225">
        <v>1</v>
      </c>
      <c r="E780" s="227" t="s">
        <v>850</v>
      </c>
      <c r="F780" s="228">
        <v>5.2</v>
      </c>
      <c r="G780" s="91">
        <v>9.57</v>
      </c>
      <c r="H780" s="91"/>
      <c r="I780" s="91" t="s">
        <v>861</v>
      </c>
      <c r="J780" s="551" t="str">
        <f>HYPERLINK("https://www.youtube.com/watch?v=wjQRLFXA0Kk","Open Link")</f>
        <v>Open Link</v>
      </c>
    </row>
    <row r="781" spans="1:10" x14ac:dyDescent="0.25">
      <c r="A781" s="18"/>
      <c r="B781" s="49"/>
      <c r="C781" s="91"/>
      <c r="D781" s="225">
        <f>+D780+1</f>
        <v>2</v>
      </c>
      <c r="E781" s="227" t="s">
        <v>853</v>
      </c>
      <c r="F781" s="228">
        <f>+G780</f>
        <v>9.57</v>
      </c>
      <c r="G781" s="91">
        <v>12.24</v>
      </c>
      <c r="H781" s="91"/>
      <c r="I781" s="91"/>
      <c r="J781" s="551"/>
    </row>
    <row r="782" spans="1:10" x14ac:dyDescent="0.25">
      <c r="A782" s="18"/>
      <c r="B782" s="49"/>
      <c r="C782" s="91"/>
      <c r="D782" s="225">
        <f t="shared" ref="D782:D788" si="81">+D781+1</f>
        <v>3</v>
      </c>
      <c r="E782" s="227" t="s">
        <v>854</v>
      </c>
      <c r="F782" s="228">
        <f t="shared" ref="F782:F788" si="82">+G781</f>
        <v>12.24</v>
      </c>
      <c r="G782" s="91">
        <v>13.55</v>
      </c>
      <c r="H782" s="91"/>
      <c r="I782" s="91"/>
      <c r="J782" s="551"/>
    </row>
    <row r="783" spans="1:10" x14ac:dyDescent="0.25">
      <c r="A783" s="18"/>
      <c r="B783" s="49"/>
      <c r="C783" s="91"/>
      <c r="D783" s="225">
        <f t="shared" si="81"/>
        <v>4</v>
      </c>
      <c r="E783" s="227" t="s">
        <v>855</v>
      </c>
      <c r="F783" s="228">
        <f t="shared" si="82"/>
        <v>13.55</v>
      </c>
      <c r="G783" s="91">
        <v>17.45</v>
      </c>
      <c r="H783" s="91"/>
      <c r="I783" s="91"/>
      <c r="J783" s="551"/>
    </row>
    <row r="784" spans="1:10" x14ac:dyDescent="0.25">
      <c r="A784" s="18"/>
      <c r="B784" s="49"/>
      <c r="C784" s="91"/>
      <c r="D784" s="225">
        <f t="shared" si="81"/>
        <v>5</v>
      </c>
      <c r="E784" s="227" t="s">
        <v>856</v>
      </c>
      <c r="F784" s="228">
        <f t="shared" si="82"/>
        <v>17.45</v>
      </c>
      <c r="G784" s="91">
        <v>19.14</v>
      </c>
      <c r="H784" s="91"/>
      <c r="I784" s="91"/>
      <c r="J784" s="551"/>
    </row>
    <row r="785" spans="1:10" x14ac:dyDescent="0.25">
      <c r="A785" s="18"/>
      <c r="B785" s="49"/>
      <c r="C785" s="91"/>
      <c r="D785" s="225">
        <f t="shared" si="81"/>
        <v>6</v>
      </c>
      <c r="E785" s="227" t="s">
        <v>857</v>
      </c>
      <c r="F785" s="228">
        <f t="shared" si="82"/>
        <v>19.14</v>
      </c>
      <c r="G785" s="91">
        <v>22.12</v>
      </c>
      <c r="H785" s="91"/>
      <c r="I785" s="91"/>
      <c r="J785" s="551"/>
    </row>
    <row r="786" spans="1:10" x14ac:dyDescent="0.25">
      <c r="A786" s="18"/>
      <c r="B786" s="49"/>
      <c r="C786" s="91"/>
      <c r="D786" s="225">
        <f t="shared" si="81"/>
        <v>7</v>
      </c>
      <c r="E786" s="227" t="s">
        <v>858</v>
      </c>
      <c r="F786" s="228">
        <f t="shared" si="82"/>
        <v>22.12</v>
      </c>
      <c r="G786" s="91">
        <v>28.08</v>
      </c>
      <c r="H786" s="91"/>
      <c r="I786" s="91"/>
      <c r="J786" s="551"/>
    </row>
    <row r="787" spans="1:10" x14ac:dyDescent="0.25">
      <c r="A787" s="18"/>
      <c r="B787" s="49"/>
      <c r="C787" s="91"/>
      <c r="D787" s="225">
        <f t="shared" si="81"/>
        <v>8</v>
      </c>
      <c r="E787" s="227" t="s">
        <v>859</v>
      </c>
      <c r="F787" s="228">
        <f t="shared" si="82"/>
        <v>28.08</v>
      </c>
      <c r="G787" s="91">
        <v>42.37</v>
      </c>
      <c r="H787" s="91"/>
      <c r="I787" s="91"/>
      <c r="J787" s="551"/>
    </row>
    <row r="788" spans="1:10" x14ac:dyDescent="0.25">
      <c r="A788" s="495"/>
      <c r="B788" s="496"/>
      <c r="C788" s="494"/>
      <c r="D788" s="497">
        <f t="shared" si="81"/>
        <v>9</v>
      </c>
      <c r="E788" s="500" t="s">
        <v>860</v>
      </c>
      <c r="F788" s="501">
        <f t="shared" si="82"/>
        <v>42.37</v>
      </c>
      <c r="G788" s="494">
        <v>45.13</v>
      </c>
      <c r="H788" s="494"/>
      <c r="I788" s="494"/>
      <c r="J788" s="551"/>
    </row>
    <row r="789" spans="1:10" x14ac:dyDescent="0.25">
      <c r="A789" s="18"/>
      <c r="B789" s="49"/>
      <c r="C789" s="91"/>
      <c r="D789" s="222"/>
      <c r="E789" s="222"/>
      <c r="F789" s="222"/>
      <c r="G789" s="91"/>
      <c r="H789" s="91"/>
      <c r="I789" s="91"/>
      <c r="J789" s="551"/>
    </row>
    <row r="790" spans="1:10" x14ac:dyDescent="0.25">
      <c r="A790" s="18">
        <v>132</v>
      </c>
      <c r="B790" s="50">
        <v>44152</v>
      </c>
      <c r="C790" s="91">
        <v>49.08</v>
      </c>
      <c r="D790" s="225">
        <v>1</v>
      </c>
      <c r="E790" s="229" t="s">
        <v>863</v>
      </c>
      <c r="F790" s="222">
        <v>7.27</v>
      </c>
      <c r="G790" s="91">
        <v>22.25</v>
      </c>
      <c r="H790" s="91"/>
      <c r="I790" s="91" t="s">
        <v>862</v>
      </c>
      <c r="J790" s="551" t="str">
        <f>HYPERLINK("https://www.youtube.com/watch?v=7btHg8WV4FU","Open Link")</f>
        <v>Open Link</v>
      </c>
    </row>
    <row r="791" spans="1:10" x14ac:dyDescent="0.25">
      <c r="A791" s="18"/>
      <c r="B791" s="49"/>
      <c r="C791" s="91"/>
      <c r="D791" s="225">
        <f>+D790+1</f>
        <v>2</v>
      </c>
      <c r="E791" s="229" t="s">
        <v>864</v>
      </c>
      <c r="F791" s="222">
        <f>+G790</f>
        <v>22.25</v>
      </c>
      <c r="G791" s="91">
        <v>32.270000000000003</v>
      </c>
      <c r="H791" s="91"/>
      <c r="I791" s="91"/>
      <c r="J791" s="551"/>
    </row>
    <row r="792" spans="1:10" x14ac:dyDescent="0.25">
      <c r="A792" s="18"/>
      <c r="B792" s="49"/>
      <c r="C792" s="91"/>
      <c r="D792" s="225">
        <f t="shared" ref="D792:D793" si="83">+D791+1</f>
        <v>3</v>
      </c>
      <c r="E792" s="229" t="s">
        <v>865</v>
      </c>
      <c r="F792" s="222">
        <f t="shared" ref="F792:F793" si="84">+G791</f>
        <v>32.270000000000003</v>
      </c>
      <c r="G792" s="92">
        <v>40</v>
      </c>
      <c r="H792" s="91"/>
      <c r="I792" s="91"/>
      <c r="J792" s="551"/>
    </row>
    <row r="793" spans="1:10" x14ac:dyDescent="0.25">
      <c r="A793" s="495"/>
      <c r="B793" s="496"/>
      <c r="C793" s="494"/>
      <c r="D793" s="497">
        <f t="shared" si="83"/>
        <v>4</v>
      </c>
      <c r="E793" s="502" t="s">
        <v>866</v>
      </c>
      <c r="F793" s="501">
        <f t="shared" si="84"/>
        <v>40</v>
      </c>
      <c r="G793" s="494">
        <v>48.05</v>
      </c>
      <c r="H793" s="494"/>
      <c r="I793" s="494"/>
      <c r="J793" s="551"/>
    </row>
    <row r="794" spans="1:10" x14ac:dyDescent="0.25">
      <c r="A794" s="18"/>
      <c r="B794" s="49"/>
      <c r="C794" s="91"/>
      <c r="D794" s="225"/>
      <c r="E794"/>
      <c r="F794" s="222"/>
      <c r="G794" s="91"/>
      <c r="H794" s="91"/>
      <c r="I794" s="91"/>
      <c r="J794" s="551"/>
    </row>
    <row r="795" spans="1:10" x14ac:dyDescent="0.25">
      <c r="A795" s="18"/>
      <c r="B795" s="49"/>
      <c r="C795" s="91"/>
      <c r="D795" s="222"/>
      <c r="E795" s="222"/>
      <c r="F795" s="222"/>
      <c r="G795" s="91"/>
      <c r="H795" s="91"/>
      <c r="I795" s="91"/>
      <c r="J795" s="551"/>
    </row>
    <row r="796" spans="1:10" x14ac:dyDescent="0.25">
      <c r="A796" s="18">
        <v>133</v>
      </c>
      <c r="B796" s="48">
        <v>44153</v>
      </c>
      <c r="C796" s="91">
        <v>42.25</v>
      </c>
      <c r="D796" s="225">
        <v>1</v>
      </c>
      <c r="E796" s="229" t="s">
        <v>867</v>
      </c>
      <c r="F796" s="222">
        <v>5.19</v>
      </c>
      <c r="G796" s="91">
        <v>24.27</v>
      </c>
      <c r="H796" s="91"/>
      <c r="I796" s="91" t="s">
        <v>873</v>
      </c>
      <c r="J796" s="551" t="str">
        <f>HYPERLINK("https://www.youtube.com/watch?v=RB9Dlb_ryp8","Open Link")</f>
        <v>Open Link</v>
      </c>
    </row>
    <row r="797" spans="1:10" x14ac:dyDescent="0.25">
      <c r="A797" s="18"/>
      <c r="B797" s="49"/>
      <c r="C797" s="91"/>
      <c r="D797" s="225">
        <f>+D796+1</f>
        <v>2</v>
      </c>
      <c r="E797" s="229" t="s">
        <v>868</v>
      </c>
      <c r="F797" s="228">
        <f>+G796</f>
        <v>24.27</v>
      </c>
      <c r="G797" s="91">
        <v>34.51</v>
      </c>
      <c r="H797" s="91"/>
      <c r="I797" s="91"/>
      <c r="J797" s="551"/>
    </row>
    <row r="798" spans="1:10" x14ac:dyDescent="0.25">
      <c r="A798" s="495"/>
      <c r="B798" s="496"/>
      <c r="C798" s="494"/>
      <c r="D798" s="497">
        <f t="shared" ref="D798" si="85">+D797+1</f>
        <v>3</v>
      </c>
      <c r="E798" s="502" t="s">
        <v>869</v>
      </c>
      <c r="F798" s="501">
        <f>+G797</f>
        <v>34.51</v>
      </c>
      <c r="G798" s="494">
        <v>41.52</v>
      </c>
      <c r="H798" s="503" t="s">
        <v>876</v>
      </c>
      <c r="I798" s="494"/>
      <c r="J798" s="551"/>
    </row>
    <row r="799" spans="1:10" x14ac:dyDescent="0.25">
      <c r="A799" s="18"/>
      <c r="B799" s="49"/>
      <c r="C799" s="91"/>
      <c r="D799" s="222"/>
      <c r="E799" s="222"/>
      <c r="F799" s="222"/>
      <c r="G799" s="91"/>
      <c r="H799" s="91"/>
      <c r="I799" s="91"/>
      <c r="J799" s="551"/>
    </row>
    <row r="800" spans="1:10" x14ac:dyDescent="0.25">
      <c r="A800" s="18">
        <v>134</v>
      </c>
      <c r="B800" s="48">
        <v>44154</v>
      </c>
      <c r="C800" s="91">
        <v>39.49</v>
      </c>
      <c r="D800" s="225">
        <f>+D799+1</f>
        <v>1</v>
      </c>
      <c r="E800" s="230" t="s">
        <v>874</v>
      </c>
      <c r="F800" s="222">
        <v>2.4500000000000002</v>
      </c>
      <c r="G800" s="91">
        <v>11.54</v>
      </c>
      <c r="H800" s="91"/>
      <c r="I800" s="91" t="s">
        <v>872</v>
      </c>
      <c r="J800" s="551" t="str">
        <f>HYPERLINK("https://www.youtube.com/watch?v=X7zf06xcLWw","Open Link")</f>
        <v>Open Link</v>
      </c>
    </row>
    <row r="801" spans="1:10" x14ac:dyDescent="0.25">
      <c r="A801" s="18"/>
      <c r="B801" s="49"/>
      <c r="C801" s="91"/>
      <c r="D801" s="225">
        <f t="shared" ref="D801:D802" si="86">+D800+1</f>
        <v>2</v>
      </c>
      <c r="E801" s="230" t="s">
        <v>875</v>
      </c>
      <c r="F801" s="222">
        <f>+G800</f>
        <v>11.54</v>
      </c>
      <c r="G801" s="91">
        <v>33.31</v>
      </c>
      <c r="H801" s="91"/>
      <c r="I801" s="91"/>
      <c r="J801" s="551"/>
    </row>
    <row r="802" spans="1:10" x14ac:dyDescent="0.25">
      <c r="A802" s="495"/>
      <c r="B802" s="496"/>
      <c r="C802" s="494"/>
      <c r="D802" s="497">
        <f t="shared" si="86"/>
        <v>3</v>
      </c>
      <c r="E802" s="504" t="s">
        <v>870</v>
      </c>
      <c r="F802" s="492">
        <f>+G801</f>
        <v>33.31</v>
      </c>
      <c r="G802" s="494">
        <v>39.090000000000003</v>
      </c>
      <c r="H802" s="503" t="s">
        <v>877</v>
      </c>
      <c r="I802" s="494"/>
      <c r="J802" s="551"/>
    </row>
    <row r="803" spans="1:10" x14ac:dyDescent="0.25">
      <c r="A803" s="18"/>
      <c r="B803" s="49"/>
      <c r="C803" s="91"/>
      <c r="D803" s="222"/>
      <c r="E803" s="222"/>
      <c r="F803" s="222"/>
      <c r="G803" s="91"/>
      <c r="H803" s="91"/>
      <c r="I803" s="91"/>
      <c r="J803" s="551"/>
    </row>
    <row r="804" spans="1:10" x14ac:dyDescent="0.25">
      <c r="A804" s="18">
        <v>135</v>
      </c>
      <c r="B804" s="48">
        <v>44155</v>
      </c>
      <c r="C804" s="92">
        <v>49.1</v>
      </c>
      <c r="D804" s="225">
        <f>+D803+1</f>
        <v>1</v>
      </c>
      <c r="E804" s="230" t="s">
        <v>878</v>
      </c>
      <c r="F804" s="222">
        <v>2.37</v>
      </c>
      <c r="G804" s="91">
        <v>6.15</v>
      </c>
      <c r="H804" s="91"/>
      <c r="I804" s="91" t="s">
        <v>884</v>
      </c>
      <c r="J804" s="551" t="str">
        <f>HYPERLINK("https://www.youtube.com/watch?v=-jIZuc4ooDc","Open Link")</f>
        <v>Open Link</v>
      </c>
    </row>
    <row r="805" spans="1:10" x14ac:dyDescent="0.25">
      <c r="A805" s="18"/>
      <c r="B805" s="49"/>
      <c r="C805" s="91"/>
      <c r="D805" s="225">
        <f t="shared" ref="D805:D816" si="87">+D804+1</f>
        <v>2</v>
      </c>
      <c r="E805" s="230" t="s">
        <v>871</v>
      </c>
      <c r="F805" s="228">
        <f>+G804</f>
        <v>6.15</v>
      </c>
      <c r="G805" s="91">
        <v>18.28</v>
      </c>
      <c r="H805" s="91"/>
      <c r="I805" s="91"/>
      <c r="J805" s="551"/>
    </row>
    <row r="806" spans="1:10" x14ac:dyDescent="0.25">
      <c r="A806" s="18"/>
      <c r="B806" s="49"/>
      <c r="C806" s="91"/>
      <c r="D806" s="225">
        <f t="shared" si="87"/>
        <v>3</v>
      </c>
      <c r="E806" s="230" t="s">
        <v>879</v>
      </c>
      <c r="F806" s="228">
        <f t="shared" ref="F806:F816" si="88">+G805</f>
        <v>18.28</v>
      </c>
      <c r="G806" s="91">
        <v>24.23</v>
      </c>
      <c r="H806" s="91"/>
      <c r="I806" s="91"/>
      <c r="J806" s="551"/>
    </row>
    <row r="807" spans="1:10" x14ac:dyDescent="0.25">
      <c r="A807" s="18"/>
      <c r="B807" s="49"/>
      <c r="C807" s="91"/>
      <c r="D807" s="225">
        <f t="shared" si="87"/>
        <v>4</v>
      </c>
      <c r="E807" s="230" t="s">
        <v>880</v>
      </c>
      <c r="F807" s="228">
        <f t="shared" si="88"/>
        <v>24.23</v>
      </c>
      <c r="G807" s="91">
        <v>28.19</v>
      </c>
      <c r="H807" s="91"/>
      <c r="I807" s="91"/>
      <c r="J807" s="551"/>
    </row>
    <row r="808" spans="1:10" x14ac:dyDescent="0.25">
      <c r="A808" s="18"/>
      <c r="B808" s="49"/>
      <c r="C808" s="91"/>
      <c r="D808" s="225">
        <f t="shared" si="87"/>
        <v>5</v>
      </c>
      <c r="E808" s="230" t="s">
        <v>881</v>
      </c>
      <c r="F808" s="228">
        <f t="shared" si="88"/>
        <v>28.19</v>
      </c>
      <c r="G808" s="91">
        <v>30.34</v>
      </c>
      <c r="H808" s="91"/>
      <c r="I808" s="91"/>
      <c r="J808" s="551"/>
    </row>
    <row r="809" spans="1:10" x14ac:dyDescent="0.25">
      <c r="A809" s="18"/>
      <c r="B809" s="49"/>
      <c r="C809" s="91"/>
      <c r="D809" s="225">
        <f t="shared" si="87"/>
        <v>6</v>
      </c>
      <c r="E809" s="230" t="s">
        <v>882</v>
      </c>
      <c r="F809" s="228">
        <f t="shared" si="88"/>
        <v>30.34</v>
      </c>
      <c r="G809" s="91">
        <v>34.200000000000003</v>
      </c>
      <c r="H809" s="91"/>
      <c r="I809" s="91"/>
      <c r="J809" s="551"/>
    </row>
    <row r="810" spans="1:10" x14ac:dyDescent="0.25">
      <c r="A810" s="18"/>
      <c r="B810" s="49"/>
      <c r="C810" s="91"/>
      <c r="D810" s="225">
        <f t="shared" si="87"/>
        <v>7</v>
      </c>
      <c r="E810" s="230" t="s">
        <v>883</v>
      </c>
      <c r="F810" s="228">
        <f t="shared" si="88"/>
        <v>34.200000000000003</v>
      </c>
      <c r="G810" s="91">
        <v>35.43</v>
      </c>
      <c r="H810" s="91"/>
      <c r="I810" s="91"/>
      <c r="J810" s="551"/>
    </row>
    <row r="811" spans="1:10" x14ac:dyDescent="0.25">
      <c r="A811" s="18"/>
      <c r="B811" s="49"/>
      <c r="C811" s="91"/>
      <c r="D811" s="225">
        <f t="shared" si="87"/>
        <v>8</v>
      </c>
      <c r="E811" s="231" t="s">
        <v>885</v>
      </c>
      <c r="F811" s="228">
        <f t="shared" si="88"/>
        <v>35.43</v>
      </c>
      <c r="G811" s="91">
        <v>36.51</v>
      </c>
      <c r="H811" s="91"/>
      <c r="I811" s="91"/>
      <c r="J811" s="551"/>
    </row>
    <row r="812" spans="1:10" x14ac:dyDescent="0.25">
      <c r="A812" s="18"/>
      <c r="B812" s="49"/>
      <c r="C812" s="91"/>
      <c r="D812" s="225">
        <f t="shared" si="87"/>
        <v>9</v>
      </c>
      <c r="E812" s="231" t="s">
        <v>886</v>
      </c>
      <c r="F812" s="228">
        <f t="shared" si="88"/>
        <v>36.51</v>
      </c>
      <c r="G812" s="91">
        <v>38.31</v>
      </c>
      <c r="H812" s="91"/>
      <c r="I812" s="91"/>
      <c r="J812" s="551"/>
    </row>
    <row r="813" spans="1:10" x14ac:dyDescent="0.25">
      <c r="A813" s="18"/>
      <c r="B813" s="49"/>
      <c r="C813" s="91"/>
      <c r="D813" s="225">
        <f t="shared" si="87"/>
        <v>10</v>
      </c>
      <c r="E813" s="231" t="s">
        <v>887</v>
      </c>
      <c r="F813" s="228">
        <f t="shared" si="88"/>
        <v>38.31</v>
      </c>
      <c r="G813" s="91">
        <v>39.24</v>
      </c>
      <c r="H813" s="91"/>
      <c r="I813" s="91"/>
      <c r="J813" s="551"/>
    </row>
    <row r="814" spans="1:10" x14ac:dyDescent="0.25">
      <c r="A814" s="18"/>
      <c r="B814" s="49"/>
      <c r="C814" s="91"/>
      <c r="D814" s="225">
        <f t="shared" si="87"/>
        <v>11</v>
      </c>
      <c r="E814" s="231" t="s">
        <v>888</v>
      </c>
      <c r="F814" s="228">
        <f t="shared" si="88"/>
        <v>39.24</v>
      </c>
      <c r="G814" s="91">
        <v>42.04</v>
      </c>
      <c r="H814" s="91"/>
      <c r="I814" s="91"/>
      <c r="J814" s="551"/>
    </row>
    <row r="815" spans="1:10" x14ac:dyDescent="0.25">
      <c r="A815" s="18"/>
      <c r="B815" s="49"/>
      <c r="C815" s="91"/>
      <c r="D815" s="225">
        <f t="shared" si="87"/>
        <v>12</v>
      </c>
      <c r="E815" s="231" t="s">
        <v>889</v>
      </c>
      <c r="F815" s="228">
        <f t="shared" si="88"/>
        <v>42.04</v>
      </c>
      <c r="G815" s="92">
        <v>45.4</v>
      </c>
      <c r="H815" s="91"/>
      <c r="I815" s="91"/>
      <c r="J815" s="551"/>
    </row>
    <row r="816" spans="1:10" x14ac:dyDescent="0.25">
      <c r="A816" s="495"/>
      <c r="B816" s="496"/>
      <c r="C816" s="494"/>
      <c r="D816" s="497">
        <f t="shared" si="87"/>
        <v>13</v>
      </c>
      <c r="E816" s="505" t="s">
        <v>890</v>
      </c>
      <c r="F816" s="501">
        <f t="shared" si="88"/>
        <v>45.4</v>
      </c>
      <c r="G816" s="494">
        <v>48.36</v>
      </c>
      <c r="H816" s="506" t="s">
        <v>890</v>
      </c>
      <c r="I816" s="494"/>
      <c r="J816" s="551"/>
    </row>
    <row r="817" spans="1:10" x14ac:dyDescent="0.25">
      <c r="A817" s="18"/>
      <c r="B817" s="49"/>
      <c r="C817" s="91"/>
      <c r="D817" s="222"/>
      <c r="E817" s="222"/>
      <c r="F817" s="222"/>
      <c r="G817" s="91"/>
      <c r="H817" s="91"/>
      <c r="I817" s="91"/>
      <c r="J817" s="551"/>
    </row>
    <row r="818" spans="1:10" x14ac:dyDescent="0.25">
      <c r="A818" s="18">
        <v>136</v>
      </c>
      <c r="B818" s="48">
        <v>44156</v>
      </c>
      <c r="C818" s="92">
        <v>53</v>
      </c>
      <c r="D818" s="225">
        <f>+D817+1</f>
        <v>1</v>
      </c>
      <c r="E818" s="231" t="s">
        <v>891</v>
      </c>
      <c r="F818" s="222">
        <v>2.04</v>
      </c>
      <c r="G818" s="91">
        <v>12.15</v>
      </c>
      <c r="H818" s="91"/>
      <c r="I818" s="91" t="s">
        <v>896</v>
      </c>
      <c r="J818" s="551" t="str">
        <f>HYPERLINK("https://www.youtube.com/watch?v=fWVHDASHQEc","Open Link")</f>
        <v>Open Link</v>
      </c>
    </row>
    <row r="819" spans="1:10" x14ac:dyDescent="0.25">
      <c r="A819" s="18"/>
      <c r="B819" s="49"/>
      <c r="C819" s="91"/>
      <c r="D819" s="225">
        <f t="shared" ref="D819:D823" si="89">+D818+1</f>
        <v>2</v>
      </c>
      <c r="E819" s="231" t="s">
        <v>892</v>
      </c>
      <c r="F819" s="222">
        <f>+G818</f>
        <v>12.15</v>
      </c>
      <c r="G819" s="91">
        <v>18.14</v>
      </c>
      <c r="H819" s="91"/>
      <c r="I819" s="91"/>
      <c r="J819" s="551"/>
    </row>
    <row r="820" spans="1:10" x14ac:dyDescent="0.25">
      <c r="A820" s="18"/>
      <c r="B820" s="49"/>
      <c r="C820" s="91"/>
      <c r="D820" s="225">
        <f t="shared" si="89"/>
        <v>3</v>
      </c>
      <c r="E820" s="231" t="s">
        <v>893</v>
      </c>
      <c r="F820" s="222">
        <f t="shared" ref="F820:F823" si="90">+G819</f>
        <v>18.14</v>
      </c>
      <c r="G820" s="91">
        <v>25.51</v>
      </c>
      <c r="H820" s="91"/>
      <c r="I820" s="91"/>
      <c r="J820" s="551"/>
    </row>
    <row r="821" spans="1:10" x14ac:dyDescent="0.25">
      <c r="A821" s="18"/>
      <c r="B821" s="49"/>
      <c r="C821" s="91"/>
      <c r="D821" s="225">
        <f t="shared" si="89"/>
        <v>4</v>
      </c>
      <c r="E821" s="231" t="s">
        <v>894</v>
      </c>
      <c r="F821" s="222">
        <f t="shared" si="90"/>
        <v>25.51</v>
      </c>
      <c r="G821" s="91">
        <v>31.52</v>
      </c>
      <c r="H821" s="91"/>
      <c r="I821" s="91"/>
      <c r="J821" s="551"/>
    </row>
    <row r="822" spans="1:10" x14ac:dyDescent="0.25">
      <c r="A822" s="18"/>
      <c r="B822" s="49"/>
      <c r="C822" s="91"/>
      <c r="D822" s="225">
        <f t="shared" si="89"/>
        <v>5</v>
      </c>
      <c r="E822" s="231" t="s">
        <v>895</v>
      </c>
      <c r="F822" s="222">
        <f t="shared" si="90"/>
        <v>31.52</v>
      </c>
      <c r="G822" s="91">
        <v>45.04</v>
      </c>
      <c r="H822" s="91"/>
      <c r="I822" s="91"/>
      <c r="J822" s="551"/>
    </row>
    <row r="823" spans="1:10" x14ac:dyDescent="0.25">
      <c r="A823" s="495"/>
      <c r="B823" s="496"/>
      <c r="C823" s="494"/>
      <c r="D823" s="497">
        <f t="shared" si="89"/>
        <v>6</v>
      </c>
      <c r="E823" s="507" t="s">
        <v>897</v>
      </c>
      <c r="F823" s="492">
        <f t="shared" si="90"/>
        <v>45.04</v>
      </c>
      <c r="G823" s="508">
        <v>52</v>
      </c>
      <c r="H823" s="494"/>
      <c r="I823" s="494"/>
      <c r="J823" s="551"/>
    </row>
    <row r="824" spans="1:10" x14ac:dyDescent="0.25">
      <c r="A824" s="18"/>
      <c r="B824" s="49"/>
      <c r="C824" s="91"/>
      <c r="D824" s="225"/>
      <c r="E824"/>
      <c r="F824" s="222"/>
      <c r="G824" s="91"/>
      <c r="H824" s="91"/>
      <c r="I824" s="91"/>
      <c r="J824" s="551"/>
    </row>
    <row r="825" spans="1:10" x14ac:dyDescent="0.25">
      <c r="A825" s="18"/>
      <c r="B825" s="49"/>
      <c r="C825" s="91"/>
      <c r="D825" s="222"/>
      <c r="E825" s="222"/>
      <c r="F825" s="222"/>
      <c r="G825" s="91"/>
      <c r="H825" s="91"/>
      <c r="I825" s="91"/>
      <c r="J825" s="551"/>
    </row>
    <row r="826" spans="1:10" x14ac:dyDescent="0.25">
      <c r="A826" s="18">
        <v>137</v>
      </c>
      <c r="B826" s="48">
        <v>44157</v>
      </c>
      <c r="C826" s="92">
        <v>37.5</v>
      </c>
      <c r="D826" s="225">
        <f>+D825+1</f>
        <v>1</v>
      </c>
      <c r="E826" s="232" t="s">
        <v>898</v>
      </c>
      <c r="F826" s="222">
        <v>0.59</v>
      </c>
      <c r="G826" s="91">
        <v>15.52</v>
      </c>
      <c r="H826" s="91"/>
      <c r="I826" s="91" t="s">
        <v>903</v>
      </c>
      <c r="J826" s="551" t="str">
        <f>HYPERLINK("https://www.youtube.com/watch?v=SuG4jjAl1KQ","Open Link")</f>
        <v>Open Link</v>
      </c>
    </row>
    <row r="827" spans="1:10" x14ac:dyDescent="0.25">
      <c r="A827" s="18"/>
      <c r="B827" s="49"/>
      <c r="C827" s="91"/>
      <c r="D827" s="225">
        <f t="shared" ref="D827:D836" si="91">+D826+1</f>
        <v>2</v>
      </c>
      <c r="E827" s="232" t="s">
        <v>899</v>
      </c>
      <c r="F827" s="228">
        <f>+G826</f>
        <v>15.52</v>
      </c>
      <c r="G827" s="91">
        <v>21.33</v>
      </c>
      <c r="H827" s="91"/>
      <c r="I827" s="91"/>
      <c r="J827" s="551"/>
    </row>
    <row r="828" spans="1:10" x14ac:dyDescent="0.25">
      <c r="A828" s="18"/>
      <c r="B828" s="49"/>
      <c r="C828" s="91"/>
      <c r="D828" s="225">
        <f t="shared" si="91"/>
        <v>3</v>
      </c>
      <c r="E828" s="232" t="s">
        <v>900</v>
      </c>
      <c r="F828" s="228">
        <f t="shared" ref="F828:F829" si="92">+G827</f>
        <v>21.33</v>
      </c>
      <c r="G828" s="91">
        <v>31.19</v>
      </c>
      <c r="H828" s="91"/>
      <c r="I828" s="91"/>
      <c r="J828" s="551"/>
    </row>
    <row r="829" spans="1:10" x14ac:dyDescent="0.25">
      <c r="A829" s="495"/>
      <c r="B829" s="496"/>
      <c r="C829" s="494"/>
      <c r="D829" s="497">
        <f t="shared" si="91"/>
        <v>4</v>
      </c>
      <c r="E829" s="507" t="s">
        <v>901</v>
      </c>
      <c r="F829" s="501">
        <f t="shared" si="92"/>
        <v>31.19</v>
      </c>
      <c r="G829" s="494">
        <v>37.15</v>
      </c>
      <c r="H829" s="509" t="s">
        <v>905</v>
      </c>
      <c r="I829" s="494"/>
      <c r="J829" s="551"/>
    </row>
    <row r="830" spans="1:10" x14ac:dyDescent="0.25">
      <c r="A830" s="18"/>
      <c r="B830" s="49"/>
      <c r="C830" s="91"/>
      <c r="D830" s="225"/>
      <c r="E830" s="232"/>
      <c r="F830" s="228"/>
      <c r="G830" s="91"/>
      <c r="H830" s="91"/>
      <c r="I830" s="91"/>
      <c r="J830" s="551"/>
    </row>
    <row r="831" spans="1:10" x14ac:dyDescent="0.25">
      <c r="A831" s="18">
        <v>138</v>
      </c>
      <c r="B831" s="48">
        <v>44158</v>
      </c>
      <c r="C831" s="91">
        <v>43.32</v>
      </c>
      <c r="D831" s="225">
        <f>+D830+1</f>
        <v>1</v>
      </c>
      <c r="E831" s="233" t="s">
        <v>904</v>
      </c>
      <c r="F831" s="222">
        <v>4.01</v>
      </c>
      <c r="G831" s="91">
        <v>17.329999999999998</v>
      </c>
      <c r="H831" s="91"/>
      <c r="I831" s="91" t="s">
        <v>908</v>
      </c>
      <c r="J831" s="551" t="str">
        <f>HYPERLINK("https://www.youtube.com/watch?v=z--7cLE1FPs","Open Link")</f>
        <v>Open Link</v>
      </c>
    </row>
    <row r="832" spans="1:10" x14ac:dyDescent="0.25">
      <c r="A832" s="18"/>
      <c r="B832" s="49"/>
      <c r="C832" s="91"/>
      <c r="D832" s="225">
        <f t="shared" si="91"/>
        <v>2</v>
      </c>
      <c r="E832" s="233" t="s">
        <v>902</v>
      </c>
      <c r="F832" s="222">
        <f>+G831</f>
        <v>17.329999999999998</v>
      </c>
      <c r="G832" s="91">
        <v>26.15</v>
      </c>
      <c r="H832" s="91"/>
      <c r="I832" s="91"/>
      <c r="J832" s="551"/>
    </row>
    <row r="833" spans="1:10" x14ac:dyDescent="0.25">
      <c r="A833" s="18"/>
      <c r="B833" s="49"/>
      <c r="C833" s="91"/>
      <c r="D833" s="225">
        <f t="shared" si="91"/>
        <v>3</v>
      </c>
      <c r="E833" s="233" t="s">
        <v>906</v>
      </c>
      <c r="F833" s="222">
        <f t="shared" ref="F833:F836" si="93">+G832</f>
        <v>26.15</v>
      </c>
      <c r="G833" s="92">
        <v>29.3</v>
      </c>
      <c r="H833" s="91"/>
      <c r="I833" s="91"/>
      <c r="J833" s="551"/>
    </row>
    <row r="834" spans="1:10" x14ac:dyDescent="0.25">
      <c r="A834" s="18"/>
      <c r="B834" s="49"/>
      <c r="C834" s="91"/>
      <c r="D834" s="225">
        <f t="shared" si="91"/>
        <v>4</v>
      </c>
      <c r="E834" s="233" t="s">
        <v>907</v>
      </c>
      <c r="F834" s="228">
        <f t="shared" si="93"/>
        <v>29.3</v>
      </c>
      <c r="G834" s="91">
        <v>33.24</v>
      </c>
      <c r="H834" s="91"/>
      <c r="I834" s="91"/>
      <c r="J834" s="551"/>
    </row>
    <row r="835" spans="1:10" x14ac:dyDescent="0.25">
      <c r="A835" s="18"/>
      <c r="B835" s="49"/>
      <c r="C835" s="91"/>
      <c r="D835" s="225">
        <f t="shared" si="91"/>
        <v>5</v>
      </c>
      <c r="E835" s="234" t="s">
        <v>909</v>
      </c>
      <c r="F835" s="228">
        <f t="shared" si="93"/>
        <v>33.24</v>
      </c>
      <c r="G835" s="91">
        <v>37.26</v>
      </c>
      <c r="H835" s="91"/>
      <c r="I835" s="91"/>
      <c r="J835" s="551"/>
    </row>
    <row r="836" spans="1:10" x14ac:dyDescent="0.25">
      <c r="A836" s="495"/>
      <c r="B836" s="496"/>
      <c r="C836" s="494"/>
      <c r="D836" s="497">
        <f t="shared" si="91"/>
        <v>6</v>
      </c>
      <c r="E836" s="510" t="s">
        <v>910</v>
      </c>
      <c r="F836" s="501">
        <f t="shared" si="93"/>
        <v>37.26</v>
      </c>
      <c r="G836" s="494">
        <v>42.33</v>
      </c>
      <c r="H836" s="494"/>
      <c r="I836" s="494"/>
      <c r="J836" s="551"/>
    </row>
    <row r="837" spans="1:10" x14ac:dyDescent="0.25">
      <c r="A837" s="18"/>
      <c r="B837" s="49"/>
      <c r="C837" s="91"/>
      <c r="D837" s="222"/>
      <c r="E837" s="222"/>
      <c r="F837" s="222"/>
      <c r="G837" s="91"/>
      <c r="H837" s="91"/>
      <c r="I837" s="91"/>
      <c r="J837" s="551"/>
    </row>
    <row r="838" spans="1:10" x14ac:dyDescent="0.25">
      <c r="A838" s="18">
        <v>139</v>
      </c>
      <c r="B838" s="48">
        <v>44159</v>
      </c>
      <c r="C838" s="91">
        <v>34.32</v>
      </c>
      <c r="D838" s="225">
        <f>+D837+1</f>
        <v>1</v>
      </c>
      <c r="E838" s="234" t="s">
        <v>911</v>
      </c>
      <c r="F838" s="222">
        <v>1.44</v>
      </c>
      <c r="G838" s="91">
        <v>12.56</v>
      </c>
      <c r="H838" s="91"/>
      <c r="I838" s="91" t="s">
        <v>918</v>
      </c>
      <c r="J838" s="551" t="str">
        <f>HYPERLINK("https://www.youtube.com/watch?v=iO0ystneX1c","Open Link")</f>
        <v>Open Link</v>
      </c>
    </row>
    <row r="839" spans="1:10" x14ac:dyDescent="0.25">
      <c r="A839" s="18"/>
      <c r="B839" s="49"/>
      <c r="C839" s="91"/>
      <c r="D839" s="225">
        <f t="shared" ref="D839:D843" si="94">+D838+1</f>
        <v>2</v>
      </c>
      <c r="E839" s="234" t="s">
        <v>912</v>
      </c>
      <c r="F839" s="228">
        <f>+G838</f>
        <v>12.56</v>
      </c>
      <c r="G839" s="91">
        <v>18.399999999999999</v>
      </c>
      <c r="H839" s="91"/>
      <c r="I839" s="91"/>
      <c r="J839" s="551"/>
    </row>
    <row r="840" spans="1:10" x14ac:dyDescent="0.25">
      <c r="A840" s="18"/>
      <c r="B840" s="49"/>
      <c r="C840" s="91"/>
      <c r="D840" s="225">
        <f t="shared" si="94"/>
        <v>3</v>
      </c>
      <c r="E840" s="234" t="s">
        <v>913</v>
      </c>
      <c r="F840" s="228">
        <f t="shared" ref="F840:F843" si="95">+G839</f>
        <v>18.399999999999999</v>
      </c>
      <c r="G840" s="91">
        <v>22.55</v>
      </c>
      <c r="H840" s="91"/>
      <c r="I840" s="91"/>
      <c r="J840" s="551"/>
    </row>
    <row r="841" spans="1:10" x14ac:dyDescent="0.25">
      <c r="A841" s="18"/>
      <c r="B841" s="49"/>
      <c r="C841" s="91"/>
      <c r="D841" s="225">
        <f t="shared" si="94"/>
        <v>4</v>
      </c>
      <c r="E841" s="234" t="s">
        <v>914</v>
      </c>
      <c r="F841" s="228">
        <f t="shared" si="95"/>
        <v>22.55</v>
      </c>
      <c r="G841" s="91">
        <v>25.21</v>
      </c>
      <c r="H841" s="91"/>
      <c r="I841" s="91"/>
      <c r="J841" s="551"/>
    </row>
    <row r="842" spans="1:10" x14ac:dyDescent="0.25">
      <c r="A842" s="18"/>
      <c r="B842" s="49"/>
      <c r="C842" s="91"/>
      <c r="D842" s="225">
        <f t="shared" si="94"/>
        <v>5</v>
      </c>
      <c r="E842" s="234" t="s">
        <v>915</v>
      </c>
      <c r="F842" s="228">
        <f t="shared" si="95"/>
        <v>25.21</v>
      </c>
      <c r="G842" s="91">
        <v>30.07</v>
      </c>
      <c r="H842" s="91"/>
      <c r="I842" s="91"/>
      <c r="J842" s="551"/>
    </row>
    <row r="843" spans="1:10" x14ac:dyDescent="0.25">
      <c r="A843" s="18"/>
      <c r="B843" s="49"/>
      <c r="C843" s="91"/>
      <c r="D843" s="225">
        <f t="shared" si="94"/>
        <v>6</v>
      </c>
      <c r="E843" s="234" t="s">
        <v>916</v>
      </c>
      <c r="F843" s="228">
        <f t="shared" si="95"/>
        <v>30.07</v>
      </c>
      <c r="G843" s="91">
        <v>33.19</v>
      </c>
      <c r="H843" s="91"/>
      <c r="I843" s="91"/>
      <c r="J843" s="551"/>
    </row>
    <row r="844" spans="1:10" x14ac:dyDescent="0.25">
      <c r="A844" s="495"/>
      <c r="B844" s="496"/>
      <c r="C844" s="494"/>
      <c r="D844" s="492"/>
      <c r="E844" s="492"/>
      <c r="F844" s="492"/>
      <c r="G844" s="494"/>
      <c r="H844" s="494"/>
      <c r="I844" s="494"/>
      <c r="J844" s="551"/>
    </row>
    <row r="845" spans="1:10" x14ac:dyDescent="0.25">
      <c r="A845" s="18">
        <v>140</v>
      </c>
      <c r="B845" s="48">
        <v>44160</v>
      </c>
      <c r="C845" s="91">
        <v>41.35</v>
      </c>
      <c r="D845" s="225">
        <f>+D844+1</f>
        <v>1</v>
      </c>
      <c r="E845" s="235" t="s">
        <v>919</v>
      </c>
      <c r="F845" s="222">
        <v>3.57</v>
      </c>
      <c r="G845" s="91">
        <v>12.05</v>
      </c>
      <c r="H845" s="91"/>
      <c r="I845" s="91" t="s">
        <v>920</v>
      </c>
      <c r="J845" s="551" t="str">
        <f>HYPERLINK("https://www.youtube.com/watch?v=cXbLzMhnjVs","Open Link")</f>
        <v>Open Link</v>
      </c>
    </row>
    <row r="846" spans="1:10" x14ac:dyDescent="0.25">
      <c r="A846" s="18"/>
      <c r="B846" s="49"/>
      <c r="C846" s="91"/>
      <c r="D846" s="225">
        <f t="shared" ref="D846:D847" si="96">+D845+1</f>
        <v>2</v>
      </c>
      <c r="E846" s="235" t="s">
        <v>922</v>
      </c>
      <c r="F846" s="222">
        <f>+G845</f>
        <v>12.05</v>
      </c>
      <c r="G846" s="91">
        <v>33.39</v>
      </c>
      <c r="H846" s="91"/>
      <c r="I846" s="91"/>
      <c r="J846" s="551"/>
    </row>
    <row r="847" spans="1:10" x14ac:dyDescent="0.25">
      <c r="A847" s="495"/>
      <c r="B847" s="496"/>
      <c r="C847" s="494"/>
      <c r="D847" s="497">
        <f t="shared" si="96"/>
        <v>3</v>
      </c>
      <c r="E847" s="511" t="s">
        <v>923</v>
      </c>
      <c r="F847" s="492">
        <f t="shared" ref="F847" si="97">+G846</f>
        <v>33.39</v>
      </c>
      <c r="G847" s="494">
        <v>40.35</v>
      </c>
      <c r="H847" s="494"/>
      <c r="I847" s="494"/>
      <c r="J847" s="551"/>
    </row>
    <row r="848" spans="1:10" x14ac:dyDescent="0.25">
      <c r="A848" s="18"/>
      <c r="B848" s="49"/>
      <c r="C848" s="91"/>
      <c r="D848" s="225"/>
      <c r="E848" s="222"/>
      <c r="F848" s="222"/>
      <c r="G848" s="91"/>
      <c r="H848" s="91"/>
      <c r="I848" s="91"/>
      <c r="J848" s="551"/>
    </row>
    <row r="849" spans="1:10" x14ac:dyDescent="0.25">
      <c r="A849" s="18">
        <v>141</v>
      </c>
      <c r="B849" s="48">
        <v>44161</v>
      </c>
      <c r="C849" s="91">
        <v>34.46</v>
      </c>
      <c r="D849" s="225">
        <f>+D848+1</f>
        <v>1</v>
      </c>
      <c r="E849" s="235" t="s">
        <v>921</v>
      </c>
      <c r="F849" s="222">
        <v>4.03</v>
      </c>
      <c r="G849" s="91">
        <v>23.32</v>
      </c>
      <c r="H849" s="91"/>
      <c r="I849" s="91" t="s">
        <v>931</v>
      </c>
      <c r="J849" s="551" t="str">
        <f>HYPERLINK("https://www.youtube.com/watch?v=74QSIbVxjO0","Open Link")</f>
        <v>Open Link</v>
      </c>
    </row>
    <row r="850" spans="1:10" x14ac:dyDescent="0.25">
      <c r="A850" s="18"/>
      <c r="B850" s="49"/>
      <c r="C850" s="91"/>
      <c r="D850" s="225">
        <f t="shared" ref="D850" si="98">+D849+1</f>
        <v>2</v>
      </c>
      <c r="E850" s="235" t="s">
        <v>924</v>
      </c>
      <c r="F850" s="222">
        <f>+G849</f>
        <v>23.32</v>
      </c>
      <c r="G850" s="91">
        <v>33.19</v>
      </c>
      <c r="H850" s="289" t="s">
        <v>925</v>
      </c>
      <c r="I850" s="91"/>
      <c r="J850" s="551"/>
    </row>
    <row r="851" spans="1:10" x14ac:dyDescent="0.25">
      <c r="A851" s="495"/>
      <c r="B851" s="496"/>
      <c r="C851" s="494"/>
      <c r="D851" s="497"/>
      <c r="E851" s="511"/>
      <c r="F851" s="492"/>
      <c r="G851" s="494"/>
      <c r="H851" s="494"/>
      <c r="I851" s="494"/>
      <c r="J851" s="551"/>
    </row>
    <row r="852" spans="1:10" x14ac:dyDescent="0.25">
      <c r="A852" s="18">
        <v>142</v>
      </c>
      <c r="B852" s="51" t="s">
        <v>926</v>
      </c>
      <c r="C852" s="91">
        <v>43.28</v>
      </c>
      <c r="D852" s="225">
        <f>+D851+1</f>
        <v>1</v>
      </c>
      <c r="E852" s="236" t="s">
        <v>927</v>
      </c>
      <c r="F852" s="222">
        <v>4.2699999999999996</v>
      </c>
      <c r="G852" s="91">
        <v>10.23</v>
      </c>
      <c r="H852" s="91"/>
      <c r="I852" s="91" t="s">
        <v>932</v>
      </c>
      <c r="J852" s="551" t="str">
        <f>HYPERLINK("https://www.youtube.com/watch?v=5kvZxMVTygg","Open Link")</f>
        <v>Open Link</v>
      </c>
    </row>
    <row r="853" spans="1:10" x14ac:dyDescent="0.25">
      <c r="A853" s="18"/>
      <c r="B853" s="49"/>
      <c r="C853" s="91"/>
      <c r="D853" s="225">
        <f t="shared" ref="D853:D855" si="99">+D852+1</f>
        <v>2</v>
      </c>
      <c r="E853" s="236" t="s">
        <v>928</v>
      </c>
      <c r="F853" s="222">
        <f>+G852</f>
        <v>10.23</v>
      </c>
      <c r="G853" s="91">
        <v>26.14</v>
      </c>
      <c r="H853" s="91"/>
      <c r="I853" s="91"/>
      <c r="J853" s="551"/>
    </row>
    <row r="854" spans="1:10" x14ac:dyDescent="0.25">
      <c r="A854" s="18"/>
      <c r="B854" s="49"/>
      <c r="C854" s="91"/>
      <c r="D854" s="225">
        <f t="shared" si="99"/>
        <v>3</v>
      </c>
      <c r="E854" s="236" t="s">
        <v>929</v>
      </c>
      <c r="F854" s="222">
        <f t="shared" ref="F854:F855" si="100">+G853</f>
        <v>26.14</v>
      </c>
      <c r="G854" s="91">
        <v>35.18</v>
      </c>
      <c r="H854" s="91"/>
      <c r="I854" s="91"/>
      <c r="J854" s="551"/>
    </row>
    <row r="855" spans="1:10" x14ac:dyDescent="0.25">
      <c r="A855" s="18"/>
      <c r="B855" s="49"/>
      <c r="C855" s="91"/>
      <c r="D855" s="225">
        <f t="shared" si="99"/>
        <v>4</v>
      </c>
      <c r="E855" s="236" t="s">
        <v>930</v>
      </c>
      <c r="F855" s="222">
        <f t="shared" si="100"/>
        <v>35.18</v>
      </c>
      <c r="G855" s="91">
        <v>42.22</v>
      </c>
      <c r="H855" s="290" t="s">
        <v>934</v>
      </c>
      <c r="I855" s="91"/>
      <c r="J855" s="551"/>
    </row>
    <row r="856" spans="1:10" x14ac:dyDescent="0.25">
      <c r="A856" s="495"/>
      <c r="B856" s="496"/>
      <c r="C856" s="494"/>
      <c r="D856" s="497"/>
      <c r="E856" s="492"/>
      <c r="F856" s="492"/>
      <c r="G856" s="494"/>
      <c r="H856" s="494"/>
      <c r="I856" s="494"/>
      <c r="J856" s="551"/>
    </row>
    <row r="857" spans="1:10" x14ac:dyDescent="0.25">
      <c r="A857" s="18">
        <v>143</v>
      </c>
      <c r="B857" s="48">
        <v>44163</v>
      </c>
      <c r="C857" s="91">
        <v>44.02</v>
      </c>
      <c r="D857" s="225">
        <f>+D856+1</f>
        <v>1</v>
      </c>
      <c r="E857" s="237" t="s">
        <v>935</v>
      </c>
      <c r="F857" s="222">
        <v>1.08</v>
      </c>
      <c r="G857" s="91">
        <v>6.41</v>
      </c>
      <c r="H857" s="91"/>
      <c r="I857" s="91" t="s">
        <v>933</v>
      </c>
      <c r="J857" s="551" t="str">
        <f>HYPERLINK("https://www.youtube.com/watch?v=pPrOy-_opMw","Open Link")</f>
        <v>Open Link</v>
      </c>
    </row>
    <row r="858" spans="1:10" x14ac:dyDescent="0.25">
      <c r="A858" s="18"/>
      <c r="B858" s="49"/>
      <c r="C858" s="91"/>
      <c r="D858" s="225">
        <f t="shared" ref="D858:D862" si="101">+D857+1</f>
        <v>2</v>
      </c>
      <c r="E858" s="237" t="s">
        <v>936</v>
      </c>
      <c r="F858" s="222">
        <f>+G857</f>
        <v>6.41</v>
      </c>
      <c r="G858" s="91">
        <v>17.48</v>
      </c>
      <c r="H858" s="91"/>
      <c r="I858" s="91"/>
      <c r="J858" s="551"/>
    </row>
    <row r="859" spans="1:10" x14ac:dyDescent="0.25">
      <c r="A859" s="18"/>
      <c r="B859" s="49"/>
      <c r="C859" s="91"/>
      <c r="D859" s="225">
        <f t="shared" si="101"/>
        <v>3</v>
      </c>
      <c r="E859" s="237" t="s">
        <v>937</v>
      </c>
      <c r="F859" s="222">
        <f t="shared" ref="F859:F862" si="102">+G858</f>
        <v>17.48</v>
      </c>
      <c r="G859" s="91">
        <v>21.14</v>
      </c>
      <c r="H859" s="91"/>
      <c r="I859" s="91"/>
      <c r="J859" s="551"/>
    </row>
    <row r="860" spans="1:10" x14ac:dyDescent="0.25">
      <c r="A860" s="18"/>
      <c r="B860" s="49"/>
      <c r="C860" s="91"/>
      <c r="D860" s="225">
        <f t="shared" si="101"/>
        <v>4</v>
      </c>
      <c r="E860" s="237" t="s">
        <v>938</v>
      </c>
      <c r="F860" s="222">
        <f t="shared" si="102"/>
        <v>21.14</v>
      </c>
      <c r="G860" s="91">
        <v>27.49</v>
      </c>
      <c r="H860" s="91"/>
      <c r="I860" s="91"/>
      <c r="J860" s="551"/>
    </row>
    <row r="861" spans="1:10" x14ac:dyDescent="0.25">
      <c r="A861" s="18"/>
      <c r="B861" s="49"/>
      <c r="C861" s="91"/>
      <c r="D861" s="225">
        <f t="shared" si="101"/>
        <v>5</v>
      </c>
      <c r="E861" s="237" t="s">
        <v>939</v>
      </c>
      <c r="F861" s="222">
        <f t="shared" si="102"/>
        <v>27.49</v>
      </c>
      <c r="G861" s="91">
        <v>41.06</v>
      </c>
      <c r="H861" s="91"/>
      <c r="I861" s="91"/>
      <c r="J861" s="551"/>
    </row>
    <row r="862" spans="1:10" x14ac:dyDescent="0.25">
      <c r="A862" s="495"/>
      <c r="B862" s="496"/>
      <c r="C862" s="494"/>
      <c r="D862" s="497">
        <f t="shared" si="101"/>
        <v>6</v>
      </c>
      <c r="E862" s="512" t="s">
        <v>940</v>
      </c>
      <c r="F862" s="492">
        <f t="shared" si="102"/>
        <v>41.06</v>
      </c>
      <c r="G862" s="494">
        <v>43.49</v>
      </c>
      <c r="H862" s="494"/>
      <c r="I862" s="494"/>
      <c r="J862" s="551"/>
    </row>
    <row r="863" spans="1:10" x14ac:dyDescent="0.25">
      <c r="A863" s="18"/>
      <c r="B863" s="49"/>
      <c r="C863" s="91"/>
      <c r="D863" s="222"/>
      <c r="E863" s="222"/>
      <c r="F863" s="222"/>
      <c r="G863" s="91"/>
      <c r="H863" s="91"/>
      <c r="I863" s="91"/>
      <c r="J863" s="551"/>
    </row>
    <row r="864" spans="1:10" x14ac:dyDescent="0.25">
      <c r="A864" s="18">
        <v>144</v>
      </c>
      <c r="B864" s="52" t="s">
        <v>941</v>
      </c>
      <c r="C864" s="91">
        <v>47.38</v>
      </c>
      <c r="D864" s="225">
        <f>+D863+1</f>
        <v>1</v>
      </c>
      <c r="E864" s="237" t="s">
        <v>942</v>
      </c>
      <c r="F864" s="222">
        <v>3.16</v>
      </c>
      <c r="G864" s="91">
        <v>8.1300000000000008</v>
      </c>
      <c r="H864" s="91"/>
      <c r="I864" s="91" t="s">
        <v>952</v>
      </c>
      <c r="J864" s="551" t="str">
        <f>HYPERLINK("https://www.youtube.com/watch?v=p5C87P4I7Ss","Open Link")</f>
        <v>Open Link</v>
      </c>
    </row>
    <row r="865" spans="1:10" x14ac:dyDescent="0.25">
      <c r="A865" s="18"/>
      <c r="B865" s="49"/>
      <c r="C865" s="91"/>
      <c r="D865" s="225">
        <f t="shared" ref="D865:D873" si="103">+D864+1</f>
        <v>2</v>
      </c>
      <c r="E865" s="237" t="s">
        <v>943</v>
      </c>
      <c r="F865" s="222">
        <f>+G864</f>
        <v>8.1300000000000008</v>
      </c>
      <c r="G865" s="91">
        <v>10.56</v>
      </c>
      <c r="H865" s="91"/>
      <c r="I865" s="91"/>
      <c r="J865" s="551"/>
    </row>
    <row r="866" spans="1:10" x14ac:dyDescent="0.25">
      <c r="A866" s="18"/>
      <c r="B866" s="49"/>
      <c r="C866" s="91"/>
      <c r="D866" s="225">
        <f t="shared" si="103"/>
        <v>3</v>
      </c>
      <c r="E866" s="237" t="s">
        <v>944</v>
      </c>
      <c r="F866" s="222">
        <f t="shared" ref="F866:F873" si="104">+G865</f>
        <v>10.56</v>
      </c>
      <c r="G866" s="91">
        <v>13.34</v>
      </c>
      <c r="H866" s="91"/>
      <c r="I866" s="91"/>
      <c r="J866" s="551"/>
    </row>
    <row r="867" spans="1:10" x14ac:dyDescent="0.25">
      <c r="A867" s="18"/>
      <c r="B867" s="49"/>
      <c r="C867" s="91"/>
      <c r="D867" s="225">
        <f t="shared" si="103"/>
        <v>4</v>
      </c>
      <c r="E867" s="237" t="s">
        <v>945</v>
      </c>
      <c r="F867" s="222">
        <f t="shared" si="104"/>
        <v>13.34</v>
      </c>
      <c r="G867" s="91">
        <v>15.38</v>
      </c>
      <c r="H867" s="91"/>
      <c r="I867" s="91"/>
      <c r="J867" s="551"/>
    </row>
    <row r="868" spans="1:10" x14ac:dyDescent="0.25">
      <c r="A868" s="18"/>
      <c r="B868" s="49"/>
      <c r="C868" s="91"/>
      <c r="D868" s="225">
        <f t="shared" si="103"/>
        <v>5</v>
      </c>
      <c r="E868" s="237" t="s">
        <v>946</v>
      </c>
      <c r="F868" s="222">
        <f t="shared" si="104"/>
        <v>15.38</v>
      </c>
      <c r="G868" s="91">
        <v>21.13</v>
      </c>
      <c r="H868" s="91"/>
      <c r="I868" s="91"/>
      <c r="J868" s="551"/>
    </row>
    <row r="869" spans="1:10" x14ac:dyDescent="0.25">
      <c r="A869" s="18"/>
      <c r="B869" s="49"/>
      <c r="C869" s="91"/>
      <c r="D869" s="225">
        <f t="shared" si="103"/>
        <v>6</v>
      </c>
      <c r="E869" s="237" t="s">
        <v>947</v>
      </c>
      <c r="F869" s="222">
        <f t="shared" si="104"/>
        <v>21.13</v>
      </c>
      <c r="G869" s="91">
        <v>26.22</v>
      </c>
      <c r="H869" s="91"/>
      <c r="I869" s="91"/>
      <c r="J869" s="551"/>
    </row>
    <row r="870" spans="1:10" x14ac:dyDescent="0.25">
      <c r="A870" s="18"/>
      <c r="B870" s="49"/>
      <c r="C870" s="91"/>
      <c r="D870" s="225">
        <f t="shared" si="103"/>
        <v>7</v>
      </c>
      <c r="E870" s="237" t="s">
        <v>948</v>
      </c>
      <c r="F870" s="222">
        <f t="shared" si="104"/>
        <v>26.22</v>
      </c>
      <c r="G870" s="91">
        <v>36.479999999999997</v>
      </c>
      <c r="H870" s="91"/>
      <c r="I870" s="91"/>
      <c r="J870" s="551"/>
    </row>
    <row r="871" spans="1:10" x14ac:dyDescent="0.25">
      <c r="A871" s="18"/>
      <c r="B871" s="49"/>
      <c r="C871" s="91"/>
      <c r="D871" s="225">
        <f t="shared" si="103"/>
        <v>8</v>
      </c>
      <c r="E871" s="237" t="s">
        <v>949</v>
      </c>
      <c r="F871" s="222">
        <f t="shared" si="104"/>
        <v>36.479999999999997</v>
      </c>
      <c r="G871" s="91">
        <v>41.37</v>
      </c>
      <c r="H871" s="91"/>
      <c r="I871" s="91"/>
      <c r="J871" s="551"/>
    </row>
    <row r="872" spans="1:10" x14ac:dyDescent="0.25">
      <c r="A872" s="18"/>
      <c r="B872" s="49"/>
      <c r="C872" s="91"/>
      <c r="D872" s="225">
        <f t="shared" si="103"/>
        <v>9</v>
      </c>
      <c r="E872" s="237" t="s">
        <v>950</v>
      </c>
      <c r="F872" s="222">
        <f t="shared" si="104"/>
        <v>41.37</v>
      </c>
      <c r="G872" s="91">
        <v>43.57</v>
      </c>
      <c r="H872" s="91"/>
      <c r="I872" s="91"/>
      <c r="J872" s="551"/>
    </row>
    <row r="873" spans="1:10" x14ac:dyDescent="0.25">
      <c r="A873" s="495"/>
      <c r="B873" s="496"/>
      <c r="C873" s="494"/>
      <c r="D873" s="497">
        <f t="shared" si="103"/>
        <v>10</v>
      </c>
      <c r="E873" s="512" t="s">
        <v>951</v>
      </c>
      <c r="F873" s="492">
        <f t="shared" si="104"/>
        <v>43.57</v>
      </c>
      <c r="G873" s="494">
        <v>46.47</v>
      </c>
      <c r="H873" s="494"/>
      <c r="I873" s="494"/>
      <c r="J873" s="551"/>
    </row>
    <row r="874" spans="1:10" x14ac:dyDescent="0.25">
      <c r="A874" s="18"/>
      <c r="B874" s="49"/>
      <c r="C874" s="91"/>
      <c r="D874" s="222"/>
      <c r="E874" s="222"/>
      <c r="F874" s="222"/>
      <c r="G874" s="91"/>
      <c r="H874" s="91"/>
      <c r="I874" s="91"/>
      <c r="J874" s="551"/>
    </row>
    <row r="875" spans="1:10" x14ac:dyDescent="0.25">
      <c r="A875" s="18">
        <v>145</v>
      </c>
      <c r="B875" s="48">
        <v>44165</v>
      </c>
      <c r="C875" s="91">
        <v>39.43</v>
      </c>
      <c r="D875" s="225">
        <f>+D874+1</f>
        <v>1</v>
      </c>
      <c r="E875" s="238" t="s">
        <v>953</v>
      </c>
      <c r="F875" s="222">
        <v>5.18</v>
      </c>
      <c r="G875" s="91">
        <v>27.26</v>
      </c>
      <c r="H875" s="91"/>
      <c r="I875" s="91" t="s">
        <v>957</v>
      </c>
      <c r="J875" s="551" t="str">
        <f>HYPERLINK("https://www.youtube.com/watch?v=XDsSY3-jiJo","Open Link")</f>
        <v>Open Link</v>
      </c>
    </row>
    <row r="876" spans="1:10" x14ac:dyDescent="0.25">
      <c r="A876" s="18"/>
      <c r="B876" s="49"/>
      <c r="C876" s="91"/>
      <c r="D876" s="225">
        <f t="shared" ref="D876:D882" si="105">+D875+1</f>
        <v>2</v>
      </c>
      <c r="E876" s="238" t="s">
        <v>954</v>
      </c>
      <c r="F876" s="222">
        <f>+G875</f>
        <v>27.26</v>
      </c>
      <c r="G876" s="91">
        <v>33.26</v>
      </c>
      <c r="H876" s="91"/>
      <c r="I876" s="91"/>
      <c r="J876" s="551"/>
    </row>
    <row r="877" spans="1:10" x14ac:dyDescent="0.25">
      <c r="A877" s="18"/>
      <c r="B877" s="49"/>
      <c r="C877" s="91"/>
      <c r="D877" s="225">
        <f t="shared" si="105"/>
        <v>3</v>
      </c>
      <c r="E877" s="238" t="s">
        <v>955</v>
      </c>
      <c r="F877" s="222">
        <f t="shared" ref="F877" si="106">+G876</f>
        <v>33.26</v>
      </c>
      <c r="G877" s="91">
        <v>39.049999999999997</v>
      </c>
      <c r="H877" s="91"/>
      <c r="I877" s="91"/>
      <c r="J877" s="551"/>
    </row>
    <row r="878" spans="1:10" x14ac:dyDescent="0.25">
      <c r="A878" s="495"/>
      <c r="B878" s="496"/>
      <c r="C878" s="494"/>
      <c r="D878" s="497"/>
      <c r="E878" s="513"/>
      <c r="F878" s="492"/>
      <c r="G878" s="494"/>
      <c r="H878" s="494"/>
      <c r="I878" s="494"/>
      <c r="J878" s="551"/>
    </row>
    <row r="879" spans="1:10" x14ac:dyDescent="0.25">
      <c r="A879" s="18">
        <v>146</v>
      </c>
      <c r="B879" s="48">
        <v>44166</v>
      </c>
      <c r="C879" s="91">
        <v>40.28</v>
      </c>
      <c r="D879" s="225">
        <f>+D878+1</f>
        <v>1</v>
      </c>
      <c r="E879" s="239" t="s">
        <v>956</v>
      </c>
      <c r="F879" s="222">
        <v>1.1200000000000001</v>
      </c>
      <c r="G879" s="91">
        <v>8.4700000000000006</v>
      </c>
      <c r="H879" s="91"/>
      <c r="I879" s="91" t="s">
        <v>969</v>
      </c>
      <c r="J879" s="551" t="str">
        <f>HYPERLINK("https://www.youtube.com/watch?v=GDVmaTIF1M8","Open Link")</f>
        <v>Open Link</v>
      </c>
    </row>
    <row r="880" spans="1:10" x14ac:dyDescent="0.25">
      <c r="A880" s="18"/>
      <c r="B880" s="49"/>
      <c r="C880" s="91"/>
      <c r="D880" s="225">
        <f t="shared" si="105"/>
        <v>2</v>
      </c>
      <c r="E880" s="239" t="s">
        <v>958</v>
      </c>
      <c r="F880" s="222">
        <f>+G879</f>
        <v>8.4700000000000006</v>
      </c>
      <c r="G880" s="91">
        <v>17.190000000000001</v>
      </c>
      <c r="H880" s="91"/>
      <c r="I880" s="91"/>
      <c r="J880" s="551"/>
    </row>
    <row r="881" spans="1:10" x14ac:dyDescent="0.25">
      <c r="A881" s="18"/>
      <c r="B881" s="49"/>
      <c r="C881" s="91"/>
      <c r="D881" s="225">
        <f t="shared" si="105"/>
        <v>3</v>
      </c>
      <c r="E881" s="239" t="s">
        <v>959</v>
      </c>
      <c r="F881" s="222">
        <f t="shared" ref="F881:F882" si="107">+G880</f>
        <v>17.190000000000001</v>
      </c>
      <c r="G881" s="91">
        <v>31.17</v>
      </c>
      <c r="H881" s="91"/>
      <c r="I881" s="91"/>
      <c r="J881" s="551"/>
    </row>
    <row r="882" spans="1:10" x14ac:dyDescent="0.25">
      <c r="A882" s="18"/>
      <c r="B882" s="49"/>
      <c r="C882" s="91"/>
      <c r="D882" s="225">
        <f t="shared" si="105"/>
        <v>4</v>
      </c>
      <c r="E882" s="239" t="s">
        <v>960</v>
      </c>
      <c r="F882" s="222">
        <f t="shared" si="107"/>
        <v>31.17</v>
      </c>
      <c r="G882" s="91">
        <v>39.520000000000003</v>
      </c>
      <c r="H882" s="91"/>
      <c r="I882" s="91"/>
      <c r="J882" s="551"/>
    </row>
    <row r="883" spans="1:10" x14ac:dyDescent="0.25">
      <c r="A883" s="495"/>
      <c r="B883" s="496"/>
      <c r="C883" s="494"/>
      <c r="D883" s="492"/>
      <c r="E883" s="492"/>
      <c r="F883" s="492"/>
      <c r="G883" s="494"/>
      <c r="H883" s="494"/>
      <c r="I883" s="494"/>
      <c r="J883" s="551"/>
    </row>
    <row r="884" spans="1:10" x14ac:dyDescent="0.25">
      <c r="A884" s="18">
        <v>147</v>
      </c>
      <c r="B884" s="48">
        <v>44167</v>
      </c>
      <c r="C884" s="91">
        <v>51.34</v>
      </c>
      <c r="D884" s="225">
        <f>+D883+1</f>
        <v>1</v>
      </c>
      <c r="E884" s="240" t="s">
        <v>961</v>
      </c>
      <c r="F884" s="222">
        <v>8.51</v>
      </c>
      <c r="G884" s="92">
        <v>17.399999999999999</v>
      </c>
      <c r="H884" s="91"/>
      <c r="I884" s="91" t="s">
        <v>970</v>
      </c>
      <c r="J884" s="551" t="str">
        <f>HYPERLINK("https://www.youtube.com/watch?v=BtxhyKKSSe8","Open Link")</f>
        <v>Open Link</v>
      </c>
    </row>
    <row r="885" spans="1:10" x14ac:dyDescent="0.25">
      <c r="A885" s="495"/>
      <c r="B885" s="496"/>
      <c r="C885" s="494"/>
      <c r="D885" s="497">
        <f t="shared" ref="D885" si="108">+D884+1</f>
        <v>2</v>
      </c>
      <c r="E885" s="514" t="s">
        <v>962</v>
      </c>
      <c r="F885" s="501">
        <f>+G884</f>
        <v>17.399999999999999</v>
      </c>
      <c r="G885" s="508">
        <v>39.44</v>
      </c>
      <c r="H885" s="494"/>
      <c r="I885" s="494"/>
      <c r="J885" s="551"/>
    </row>
    <row r="886" spans="1:10" x14ac:dyDescent="0.25">
      <c r="A886" s="18"/>
      <c r="B886" s="49"/>
      <c r="C886" s="91"/>
      <c r="D886" s="225"/>
      <c r="E886" s="240"/>
      <c r="F886" s="228"/>
      <c r="G886" s="92"/>
      <c r="H886" s="91"/>
      <c r="I886" s="91"/>
      <c r="J886" s="551"/>
    </row>
    <row r="887" spans="1:10" x14ac:dyDescent="0.25">
      <c r="A887" s="19">
        <v>148</v>
      </c>
      <c r="B887" s="53">
        <v>44168</v>
      </c>
      <c r="C887" s="93">
        <v>45.02</v>
      </c>
      <c r="D887" s="225">
        <f>+D886+1</f>
        <v>1</v>
      </c>
      <c r="E887" s="241" t="s">
        <v>964</v>
      </c>
      <c r="F887" s="242">
        <v>10.48</v>
      </c>
      <c r="G887" s="243">
        <v>23.36</v>
      </c>
      <c r="H887" s="93"/>
      <c r="I887" s="93" t="s">
        <v>963</v>
      </c>
      <c r="J887" s="551" t="str">
        <f>HYPERLINK("https://www.youtube.com/watch?v=lWISxXV9GEQ","Open Link")</f>
        <v>Open Link</v>
      </c>
    </row>
    <row r="888" spans="1:10" x14ac:dyDescent="0.25">
      <c r="A888" s="19"/>
      <c r="B888" s="54"/>
      <c r="C888" s="93"/>
      <c r="D888" s="225">
        <f t="shared" ref="D888:D898" si="109">+D887+1</f>
        <v>2</v>
      </c>
      <c r="E888" s="241" t="s">
        <v>965</v>
      </c>
      <c r="F888" s="242">
        <f>+G887</f>
        <v>23.36</v>
      </c>
      <c r="G888" s="93">
        <v>26.38</v>
      </c>
      <c r="H888" s="93"/>
      <c r="I888" s="93"/>
      <c r="J888" s="551"/>
    </row>
    <row r="889" spans="1:10" x14ac:dyDescent="0.25">
      <c r="A889" s="19"/>
      <c r="B889" s="54"/>
      <c r="C889" s="93"/>
      <c r="D889" s="225">
        <f t="shared" si="109"/>
        <v>3</v>
      </c>
      <c r="E889" s="241" t="s">
        <v>966</v>
      </c>
      <c r="F889" s="242">
        <f t="shared" ref="F889:F890" si="110">+G888</f>
        <v>26.38</v>
      </c>
      <c r="G889" s="93">
        <v>35.590000000000003</v>
      </c>
      <c r="H889" s="93"/>
      <c r="I889" s="93"/>
      <c r="J889" s="551"/>
    </row>
    <row r="890" spans="1:10" x14ac:dyDescent="0.25">
      <c r="A890" s="19"/>
      <c r="B890" s="54"/>
      <c r="C890" s="93"/>
      <c r="D890" s="225">
        <f t="shared" si="109"/>
        <v>4</v>
      </c>
      <c r="E890" s="241" t="s">
        <v>967</v>
      </c>
      <c r="F890" s="242">
        <f t="shared" si="110"/>
        <v>35.590000000000003</v>
      </c>
      <c r="G890" s="243">
        <v>44.1</v>
      </c>
      <c r="H890" s="93"/>
      <c r="I890" s="93"/>
      <c r="J890" s="551"/>
    </row>
    <row r="891" spans="1:10" x14ac:dyDescent="0.25">
      <c r="A891" s="515"/>
      <c r="B891" s="516"/>
      <c r="C891" s="517"/>
      <c r="D891" s="497"/>
      <c r="E891" s="518"/>
      <c r="F891" s="519"/>
      <c r="G891" s="517"/>
      <c r="H891" s="517"/>
      <c r="I891" s="517"/>
      <c r="J891" s="551"/>
    </row>
    <row r="892" spans="1:10" x14ac:dyDescent="0.25">
      <c r="A892" s="19">
        <v>149</v>
      </c>
      <c r="B892" s="53">
        <v>44169</v>
      </c>
      <c r="C892" s="93">
        <v>46.44</v>
      </c>
      <c r="D892" s="225">
        <f>+D891+1</f>
        <v>1</v>
      </c>
      <c r="E892" s="241" t="s">
        <v>968</v>
      </c>
      <c r="F892" s="241">
        <v>11.36</v>
      </c>
      <c r="G892" s="243">
        <v>14.39</v>
      </c>
      <c r="H892" s="93"/>
      <c r="I892" s="93" t="s">
        <v>983</v>
      </c>
      <c r="J892" s="551" t="str">
        <f>HYPERLINK("https://www.youtube.com/watch?v=doE4wuv5XYM","Open Link")</f>
        <v>Open Link</v>
      </c>
    </row>
    <row r="893" spans="1:10" x14ac:dyDescent="0.25">
      <c r="A893" s="19"/>
      <c r="B893" s="54"/>
      <c r="C893" s="93"/>
      <c r="D893" s="225">
        <f t="shared" si="109"/>
        <v>2</v>
      </c>
      <c r="E893" s="241" t="s">
        <v>971</v>
      </c>
      <c r="F893" s="242">
        <f>+G892</f>
        <v>14.39</v>
      </c>
      <c r="G893" s="93">
        <v>21.04</v>
      </c>
      <c r="H893" s="93"/>
      <c r="I893" s="93"/>
      <c r="J893" s="551"/>
    </row>
    <row r="894" spans="1:10" x14ac:dyDescent="0.25">
      <c r="A894" s="19"/>
      <c r="B894" s="54"/>
      <c r="C894" s="93"/>
      <c r="D894" s="225">
        <f t="shared" si="109"/>
        <v>3</v>
      </c>
      <c r="E894" s="241" t="s">
        <v>972</v>
      </c>
      <c r="F894" s="242">
        <f t="shared" ref="F894:F898" si="111">+G893</f>
        <v>21.04</v>
      </c>
      <c r="G894" s="93">
        <v>32.270000000000003</v>
      </c>
      <c r="H894" s="93"/>
      <c r="I894" s="93"/>
      <c r="J894" s="551"/>
    </row>
    <row r="895" spans="1:10" x14ac:dyDescent="0.25">
      <c r="A895" s="19"/>
      <c r="B895" s="54"/>
      <c r="C895" s="93"/>
      <c r="D895" s="225">
        <f t="shared" si="109"/>
        <v>4</v>
      </c>
      <c r="E895" s="241" t="s">
        <v>973</v>
      </c>
      <c r="F895" s="242">
        <f t="shared" si="111"/>
        <v>32.270000000000003</v>
      </c>
      <c r="G895" s="93">
        <v>35.17</v>
      </c>
      <c r="H895" s="93"/>
      <c r="I895" s="93"/>
      <c r="J895" s="551"/>
    </row>
    <row r="896" spans="1:10" x14ac:dyDescent="0.25">
      <c r="A896" s="19"/>
      <c r="B896" s="54"/>
      <c r="C896" s="93"/>
      <c r="D896" s="225">
        <f t="shared" si="109"/>
        <v>5</v>
      </c>
      <c r="E896" s="241" t="s">
        <v>974</v>
      </c>
      <c r="F896" s="242">
        <f t="shared" si="111"/>
        <v>35.17</v>
      </c>
      <c r="G896" s="93">
        <v>38.15</v>
      </c>
      <c r="H896" s="93"/>
      <c r="I896" s="93"/>
      <c r="J896" s="551"/>
    </row>
    <row r="897" spans="1:10" x14ac:dyDescent="0.25">
      <c r="A897" s="19"/>
      <c r="B897" s="54"/>
      <c r="C897" s="93"/>
      <c r="D897" s="225">
        <f t="shared" si="109"/>
        <v>6</v>
      </c>
      <c r="E897" s="241" t="s">
        <v>975</v>
      </c>
      <c r="F897" s="242">
        <f t="shared" si="111"/>
        <v>38.15</v>
      </c>
      <c r="G897" s="93">
        <v>41.46</v>
      </c>
      <c r="H897" s="93"/>
      <c r="I897" s="93"/>
      <c r="J897" s="551"/>
    </row>
    <row r="898" spans="1:10" x14ac:dyDescent="0.25">
      <c r="A898" s="515"/>
      <c r="B898" s="516"/>
      <c r="C898" s="517"/>
      <c r="D898" s="497">
        <f t="shared" si="109"/>
        <v>7</v>
      </c>
      <c r="E898" s="520" t="s">
        <v>976</v>
      </c>
      <c r="F898" s="519">
        <f t="shared" si="111"/>
        <v>41.46</v>
      </c>
      <c r="G898" s="517">
        <v>46.06</v>
      </c>
      <c r="H898" s="517"/>
      <c r="I898" s="517"/>
      <c r="J898" s="551"/>
    </row>
    <row r="899" spans="1:10" x14ac:dyDescent="0.25">
      <c r="A899" s="19"/>
      <c r="B899" s="54"/>
      <c r="C899" s="93"/>
      <c r="D899" s="241"/>
      <c r="E899" s="241"/>
      <c r="F899" s="241"/>
      <c r="G899" s="93"/>
      <c r="H899" s="93"/>
      <c r="I899" s="93"/>
      <c r="J899" s="551"/>
    </row>
    <row r="900" spans="1:10" x14ac:dyDescent="0.25">
      <c r="A900" s="19">
        <v>150</v>
      </c>
      <c r="B900" s="53">
        <v>44170</v>
      </c>
      <c r="C900" s="93">
        <v>43.16</v>
      </c>
      <c r="D900" s="225">
        <f>1</f>
        <v>1</v>
      </c>
      <c r="E900" s="241" t="s">
        <v>977</v>
      </c>
      <c r="F900" s="242">
        <v>3.22</v>
      </c>
      <c r="G900" s="93">
        <v>6.42</v>
      </c>
      <c r="H900" s="93"/>
      <c r="I900" s="294" t="s">
        <v>984</v>
      </c>
      <c r="J900" s="552" t="str">
        <f>HYPERLINK("https://www.youtube.com/watch?v=W2OONc0UtAg","Open Link")</f>
        <v>Open Link</v>
      </c>
    </row>
    <row r="901" spans="1:10" x14ac:dyDescent="0.25">
      <c r="A901" s="19"/>
      <c r="B901" s="54"/>
      <c r="C901" s="93"/>
      <c r="D901" s="225">
        <f>+D900+1</f>
        <v>2</v>
      </c>
      <c r="E901" s="241" t="s">
        <v>978</v>
      </c>
      <c r="F901" s="242">
        <f>+G900</f>
        <v>6.42</v>
      </c>
      <c r="G901" s="93">
        <v>9.1199999999999992</v>
      </c>
      <c r="H901" s="93"/>
      <c r="I901" s="93"/>
    </row>
    <row r="902" spans="1:10" x14ac:dyDescent="0.25">
      <c r="A902" s="19"/>
      <c r="B902" s="54"/>
      <c r="C902" s="93"/>
      <c r="D902" s="225">
        <f>+D901+1</f>
        <v>3</v>
      </c>
      <c r="E902" s="241" t="s">
        <v>979</v>
      </c>
      <c r="F902" s="242">
        <f t="shared" ref="F902:F905" si="112">+G901</f>
        <v>9.1199999999999992</v>
      </c>
      <c r="G902" s="93">
        <v>13.47</v>
      </c>
      <c r="H902" s="93"/>
      <c r="I902" s="93"/>
    </row>
    <row r="903" spans="1:10" x14ac:dyDescent="0.25">
      <c r="A903" s="19"/>
      <c r="B903" s="54"/>
      <c r="C903" s="93"/>
      <c r="D903" s="225">
        <f>+D902+1</f>
        <v>4</v>
      </c>
      <c r="E903" s="241" t="s">
        <v>980</v>
      </c>
      <c r="F903" s="242">
        <f t="shared" si="112"/>
        <v>13.47</v>
      </c>
      <c r="G903" s="93">
        <v>20.420000000000002</v>
      </c>
      <c r="H903" s="93"/>
      <c r="I903" s="93"/>
    </row>
    <row r="904" spans="1:10" x14ac:dyDescent="0.25">
      <c r="A904" s="19"/>
      <c r="B904" s="54"/>
      <c r="C904" s="93"/>
      <c r="D904" s="225">
        <f>+D903+1</f>
        <v>5</v>
      </c>
      <c r="E904" s="241" t="s">
        <v>981</v>
      </c>
      <c r="F904" s="242">
        <f t="shared" si="112"/>
        <v>20.420000000000002</v>
      </c>
      <c r="G904" s="93">
        <v>24.25</v>
      </c>
      <c r="H904" s="93"/>
      <c r="I904" s="93"/>
    </row>
    <row r="905" spans="1:10" x14ac:dyDescent="0.25">
      <c r="A905" s="19"/>
      <c r="B905" s="54"/>
      <c r="C905" s="93"/>
      <c r="D905" s="225">
        <f>+D904+1</f>
        <v>6</v>
      </c>
      <c r="E905" s="241" t="s">
        <v>982</v>
      </c>
      <c r="F905" s="242">
        <f t="shared" si="112"/>
        <v>24.25</v>
      </c>
      <c r="G905" s="93">
        <v>34.17</v>
      </c>
      <c r="H905" s="93"/>
      <c r="I905" s="93"/>
    </row>
    <row r="906" spans="1:10" x14ac:dyDescent="0.25">
      <c r="A906" s="20"/>
      <c r="B906" s="55"/>
      <c r="C906" s="94"/>
      <c r="D906" s="244"/>
      <c r="E906" s="244"/>
      <c r="F906" s="245"/>
      <c r="G906" s="246"/>
      <c r="H906" s="94"/>
      <c r="I906" s="94"/>
    </row>
    <row r="909" spans="1:10" x14ac:dyDescent="0.25">
      <c r="B909" s="553" t="s">
        <v>1016</v>
      </c>
      <c r="C909" s="554"/>
      <c r="D909" s="521"/>
      <c r="E909" s="104"/>
    </row>
    <row r="910" spans="1:10" x14ac:dyDescent="0.25">
      <c r="C910" s="554"/>
      <c r="D910" s="521"/>
      <c r="E910" s="104"/>
    </row>
    <row r="911" spans="1:10" x14ac:dyDescent="0.25">
      <c r="B911" s="555" t="s">
        <v>1013</v>
      </c>
      <c r="C911" s="553" t="s">
        <v>1015</v>
      </c>
      <c r="D911" s="521"/>
      <c r="E911" s="104"/>
    </row>
    <row r="912" spans="1:10" x14ac:dyDescent="0.25">
      <c r="B912" s="556"/>
      <c r="C912" s="557"/>
      <c r="D912" s="521"/>
      <c r="E912" s="104"/>
    </row>
    <row r="913" spans="2:5" x14ac:dyDescent="0.25">
      <c r="B913" s="555" t="s">
        <v>1014</v>
      </c>
      <c r="C913" s="557"/>
      <c r="D913" s="521"/>
      <c r="E913" s="104"/>
    </row>
  </sheetData>
  <hyperlinks>
    <hyperlink ref="J7" r:id="rId1" display="https://www.youtube.com/watch?v=aRCQcy8o-xA" xr:uid="{BE4A510C-6197-43C9-9212-66A1433B5243}"/>
    <hyperlink ref="I7" r:id="rId2" xr:uid="{33D8BC6F-1975-47EE-B56E-40DCEA9320F0}"/>
    <hyperlink ref="J189" r:id="rId3" xr:uid="{A37F0C66-9143-4233-94B5-C0DE8A792CA6}"/>
    <hyperlink ref="J193" r:id="rId4" xr:uid="{BF4BF0EB-9503-44FA-A100-D486C6EB673B}"/>
    <hyperlink ref="J197" r:id="rId5" xr:uid="{0C03C5C5-F47E-48C1-AC11-B153D0E1F63D}"/>
    <hyperlink ref="J201" r:id="rId6" xr:uid="{7F2829C2-AACC-4B6B-8D64-C8593F75B2C0}"/>
    <hyperlink ref="J207" r:id="rId7" xr:uid="{87543E8B-14A8-4232-AAE1-71972D2A8573}"/>
    <hyperlink ref="J211" r:id="rId8" xr:uid="{84CF30AC-FA26-4E0B-948A-7539D925AA2D}"/>
    <hyperlink ref="J216" r:id="rId9" xr:uid="{411E8648-D84F-4D6A-8949-FD7BA4877E9A}"/>
    <hyperlink ref="J221" r:id="rId10" xr:uid="{E6D50855-CAD8-4EE5-9704-7CA17C36874F}"/>
    <hyperlink ref="J225" r:id="rId11" xr:uid="{8F9FB4EB-CBF5-42B2-B1B5-C1117DDA5AA7}"/>
    <hyperlink ref="J229" r:id="rId12" xr:uid="{2C894D15-A333-4720-8075-8F5188A405A4}"/>
    <hyperlink ref="J234" r:id="rId13" xr:uid="{8735A788-31A2-45B7-BFD8-E6559AA0DEDC}"/>
    <hyperlink ref="J239" r:id="rId14" xr:uid="{43C4E210-4BE1-44B0-A2DC-383F5B26EBE7}"/>
    <hyperlink ref="J247" r:id="rId15" xr:uid="{189A129C-0BF6-483B-95B4-B4B93E8D8981}"/>
    <hyperlink ref="J253" r:id="rId16" xr:uid="{A32F6DDC-B357-4E22-80FB-0E1D6A275666}"/>
    <hyperlink ref="J258" r:id="rId17" xr:uid="{A409049D-B0BF-4CE0-AC6F-3BD8F6DFDB48}"/>
    <hyperlink ref="J265" r:id="rId18" xr:uid="{7141A82E-BD61-4A22-A220-AAE4A3C31EBD}"/>
    <hyperlink ref="J269" r:id="rId19" xr:uid="{22F0DEC5-CD60-4BA9-9413-72AB0D00B9FD}"/>
    <hyperlink ref="J274" r:id="rId20" xr:uid="{F1930BF7-60E2-482D-82DC-51576BCBE605}"/>
    <hyperlink ref="J278" r:id="rId21" xr:uid="{0813E030-C42B-4F67-81A6-79684568D0CA}"/>
    <hyperlink ref="J282" r:id="rId22" xr:uid="{EA4A0BF2-E85D-4B1B-BFDC-16EF89BF9670}"/>
    <hyperlink ref="J286" r:id="rId23" xr:uid="{CA731E56-AC4C-4277-8709-208166503D10}"/>
    <hyperlink ref="J290" r:id="rId24" xr:uid="{AF40C592-D123-4808-A4E5-EAFDE07999C1}"/>
    <hyperlink ref="J295" r:id="rId25" xr:uid="{76965BEC-D799-43F8-8321-BE33AF747E8B}"/>
    <hyperlink ref="J299" r:id="rId26" xr:uid="{10192A9A-E818-4B25-BFDA-71CE9CF0DE12}"/>
    <hyperlink ref="J304" r:id="rId27" xr:uid="{0B5BB7A5-FA3E-4300-B183-E029C8833235}"/>
    <hyperlink ref="J308" r:id="rId28" xr:uid="{7FE11032-DF0B-4003-B886-8F93E5CADC35}"/>
    <hyperlink ref="J312" r:id="rId29" xr:uid="{1D83C05C-9645-4BB3-987B-3D2B12607D03}"/>
    <hyperlink ref="J318" r:id="rId30" xr:uid="{DDD536C6-DC43-41D9-9269-35A5151F2768}"/>
    <hyperlink ref="J324" r:id="rId31" xr:uid="{68476B38-B726-40FF-962B-05D4304E644C}"/>
    <hyperlink ref="J329" r:id="rId32" xr:uid="{51B00E93-89EF-4687-9DEB-94595C14AECF}"/>
    <hyperlink ref="J334" r:id="rId33" xr:uid="{563E21DD-B6D9-4023-B544-E9657A696356}"/>
    <hyperlink ref="J338" r:id="rId34" xr:uid="{FD62EEC6-26A4-45D2-866A-6E73E8610947}"/>
    <hyperlink ref="J341" r:id="rId35" xr:uid="{8802C707-1DD3-4BF0-BD2E-3FFB3E9B87B4}"/>
    <hyperlink ref="J343" r:id="rId36" xr:uid="{0FCDE13B-BFE6-4B1E-AD27-DA2E9DCFFABA}"/>
    <hyperlink ref="J349" r:id="rId37" xr:uid="{7577BC92-DFAB-44E9-B893-AC2463753DA8}"/>
    <hyperlink ref="J351" r:id="rId38" xr:uid="{77F7FBFF-DA32-4812-9721-7D84CC21555F}"/>
    <hyperlink ref="J357" r:id="rId39" xr:uid="{F486B3DB-0B23-433B-8127-CFE86AF8BA66}"/>
    <hyperlink ref="J360" r:id="rId40" xr:uid="{2A9C4E92-2B29-4215-AFB7-0F9F5991C0C5}"/>
    <hyperlink ref="J362" r:id="rId41" xr:uid="{1ED121BD-3AC8-4685-961A-3200511548B3}"/>
    <hyperlink ref="J367" r:id="rId42" xr:uid="{1B00E166-7D11-4E26-BE56-7C67C198541A}"/>
    <hyperlink ref="J369" r:id="rId43" xr:uid="{230DD782-0198-4295-8528-EB115C7EF2FD}"/>
    <hyperlink ref="J372" r:id="rId44" xr:uid="{30682BD7-34C9-4290-8141-232D4D0ED997}"/>
    <hyperlink ref="J374" r:id="rId45" xr:uid="{87BCD073-8183-4FEB-8508-0098371CAA22}"/>
    <hyperlink ref="J377" r:id="rId46" xr:uid="{F988DE40-6509-41A1-B6E1-2A74FD6952E7}"/>
    <hyperlink ref="J379" r:id="rId47" xr:uid="{CCB7891D-6A54-48D5-913E-922E9915B618}"/>
    <hyperlink ref="J384" r:id="rId48" xr:uid="{0356E539-697F-4037-AA52-EBD973CC8E79}"/>
    <hyperlink ref="J391" r:id="rId49" xr:uid="{001427DB-1EA1-479F-8722-EA899654BBB6}"/>
    <hyperlink ref="J394" r:id="rId50" xr:uid="{CE42B827-9F7B-4051-9CBF-1F6DD8B9B919}"/>
    <hyperlink ref="J395" r:id="rId51" xr:uid="{86F3670E-FE58-460A-BE5D-CC62E9AA03E5}"/>
    <hyperlink ref="J397" r:id="rId52" xr:uid="{CD105C0A-41D9-40B1-9D06-4DBD45117F0A}"/>
    <hyperlink ref="J401" r:id="rId53" xr:uid="{3039A75F-A909-4882-BDCB-9E885D739132}"/>
    <hyperlink ref="J403" r:id="rId54" xr:uid="{BFB68AEF-2795-4B17-ACBA-1F032F880D50}"/>
    <hyperlink ref="J408" r:id="rId55" xr:uid="{97C33C79-C4BC-4D7F-80A4-D45D94838A55}"/>
    <hyperlink ref="J410" r:id="rId56" xr:uid="{69E5E1C9-CA3C-426F-A050-0BDCF6F2CCAF}"/>
    <hyperlink ref="J412" r:id="rId57" xr:uid="{0D7840A9-4300-4EB1-80D2-BCD10CC0F0C9}"/>
    <hyperlink ref="J415" r:id="rId58" xr:uid="{BAE5F051-8351-41DA-8A3B-C237F922319F}"/>
    <hyperlink ref="J417" r:id="rId59" xr:uid="{4D267E57-6EC2-4E75-A40D-2FE365948AAE}"/>
    <hyperlink ref="J421" r:id="rId60" xr:uid="{A6C522F2-9C8A-40C1-BD4A-00DC785A84CB}"/>
    <hyperlink ref="J426" r:id="rId61" xr:uid="{803B12B7-C5B8-42E6-9763-E337A247BEFB}"/>
    <hyperlink ref="J434" r:id="rId62" xr:uid="{4D4FE6F0-08FD-44AB-B62E-B5F482495E6F}"/>
    <hyperlink ref="J438" r:id="rId63" xr:uid="{5D1EDF33-D0A6-4558-9AE4-17255991BA1C}"/>
    <hyperlink ref="J440" r:id="rId64" xr:uid="{0D258C68-6649-492E-98C9-2A0608223E98}"/>
    <hyperlink ref="J444" r:id="rId65" xr:uid="{BD252DCB-8C88-4EEC-906D-3926B2B4B83A}"/>
    <hyperlink ref="J448" r:id="rId66" xr:uid="{C5E41B7C-76ED-4597-BDDD-2BEFA1768FBA}"/>
    <hyperlink ref="J455" r:id="rId67" xr:uid="{EC03F33F-B09F-4B04-AC9A-F03E0DA7B2C5}"/>
    <hyperlink ref="J457" r:id="rId68" xr:uid="{2F5E6842-DC24-4FC5-AD04-2CF2DD727166}"/>
    <hyperlink ref="J462" r:id="rId69" xr:uid="{FC837439-DEA7-4E1F-81E7-2753C1C9571F}"/>
    <hyperlink ref="J470" r:id="rId70" xr:uid="{7F3B7746-B9AD-48E1-9A9A-1719499C254A}"/>
    <hyperlink ref="J472" r:id="rId71" xr:uid="{EB4B439A-1C4C-435F-AC9B-3BC3A68EA222}"/>
    <hyperlink ref="J475" r:id="rId72" xr:uid="{16ECCD2B-A220-4947-864B-2F8F521E1597}"/>
    <hyperlink ref="J477" r:id="rId73" xr:uid="{A02271AC-5062-468C-A986-A0813F4C1F85}"/>
    <hyperlink ref="J479" r:id="rId74" xr:uid="{11477057-0993-435D-924E-56FB53861C64}"/>
    <hyperlink ref="J481" r:id="rId75" xr:uid="{8E7375B0-AB8B-43B5-888B-3835CE3C1532}"/>
    <hyperlink ref="J484" r:id="rId76" xr:uid="{BE9302D4-1681-4CA7-A8B3-EB6119090D65}"/>
    <hyperlink ref="J486" r:id="rId77" xr:uid="{B24C679F-FF0F-49A7-B335-A7F87C85A843}"/>
    <hyperlink ref="J499" r:id="rId78" xr:uid="{C9047319-2E27-439D-841E-7EEAD6CA0DF9}"/>
    <hyperlink ref="J504" r:id="rId79" xr:uid="{B179FB76-55AA-407C-9D08-7099EAC846D4}"/>
    <hyperlink ref="J507" r:id="rId80" xr:uid="{76E10715-0659-49CD-9098-5CA581C9CFA3}"/>
    <hyperlink ref="J666" r:id="rId81" xr:uid="{754F9B4F-4994-4E1C-829F-B2F8847EBE32}"/>
    <hyperlink ref="J670" r:id="rId82" xr:uid="{513CFEA6-3882-4CDB-986C-9F278EE0C1C3}"/>
    <hyperlink ref="J673" r:id="rId83" xr:uid="{440B6E96-0970-4DE2-95FA-7AF4F72E32B8}"/>
    <hyperlink ref="J678" r:id="rId84" xr:uid="{193EFD32-BF2C-495A-946F-26EFED59546D}"/>
    <hyperlink ref="J682" r:id="rId85" xr:uid="{9E5A2A79-6EFC-46E7-A978-9B70E83CADA1}"/>
    <hyperlink ref="J686" r:id="rId86" xr:uid="{1A94A0BE-5EA2-4A5C-A870-408499857A93}"/>
    <hyperlink ref="J690" r:id="rId87" xr:uid="{796714DD-E0E4-4503-B65C-6E47688D6238}"/>
    <hyperlink ref="J696" r:id="rId88" xr:uid="{7EE1ED87-BBF3-4881-8866-65B383A1B69B}"/>
    <hyperlink ref="J700" r:id="rId89" xr:uid="{187EA379-E966-47A2-9482-9765FE37B8CB}"/>
    <hyperlink ref="J705" r:id="rId90" xr:uid="{BF821262-6811-4D15-B1D2-DD7BF405E938}"/>
    <hyperlink ref="J709" r:id="rId91" xr:uid="{27AF3439-BE28-4D91-9F4B-E185D6B2AC76}"/>
    <hyperlink ref="J715" r:id="rId92" xr:uid="{357B528F-40F1-4FDE-9B54-4DAAD81FEDE5}"/>
    <hyperlink ref="J720" r:id="rId93" xr:uid="{D5E437A2-0650-4A3F-A537-883945E0CCCF}"/>
    <hyperlink ref="J725" r:id="rId94" xr:uid="{DC6EAACD-5F18-494D-98D7-CC5841D280E9}"/>
    <hyperlink ref="J729" r:id="rId95" xr:uid="{273ECBD5-180E-45A2-8BB8-6B21D7139F89}"/>
    <hyperlink ref="J734" r:id="rId96" xr:uid="{0DA45FB4-61AB-4D41-98ED-7CBD9813DDB2}"/>
    <hyperlink ref="J740" r:id="rId97" xr:uid="{0F967EC1-90B1-419C-ADE6-6E78AAD1722F}"/>
    <hyperlink ref="J745" r:id="rId98" xr:uid="{76A31031-32A2-4FC9-850D-54BA7168E57D}"/>
    <hyperlink ref="J750" r:id="rId99" xr:uid="{EAFF56EE-8BA6-41C7-AE56-FA28A250DDBC}"/>
    <hyperlink ref="J754" r:id="rId100" xr:uid="{42D9D82D-C24D-4344-A80B-4E5B63BE7835}"/>
    <hyperlink ref="J757" r:id="rId101" xr:uid="{711C01C4-19B2-4500-9E4D-6E07F5D80D43}"/>
  </hyperlinks>
  <pageMargins left="0.7" right="0.7" top="0.75" bottom="0.75" header="0.3" footer="0.3"/>
  <pageSetup orientation="portrait" verticalDpi="0"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7 Kaandams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2026-09-11T05:06:18Z</dcterms:modified>
</cp:coreProperties>
</file>